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756ef8f9f8c1af6/Desktop/Job Application/Updated/"/>
    </mc:Choice>
  </mc:AlternateContent>
  <xr:revisionPtr revIDLastSave="36326" documentId="8_{80267235-2CBC-4B6B-B2E7-BBB7DBCB8000}" xr6:coauthVersionLast="47" xr6:coauthVersionMax="47" xr10:uidLastSave="{5A0C353D-103C-49D9-B397-09F88AAB3E56}"/>
  <bookViews>
    <workbookView xWindow="-120" yWindow="-120" windowWidth="20730" windowHeight="11160" activeTab="2" xr2:uid="{EA339BB5-7D1B-4FED-865B-5DE7C916DCEA}"/>
  </bookViews>
  <sheets>
    <sheet name="How to use" sheetId="2" r:id="rId1"/>
    <sheet name="RawData" sheetId="1" r:id="rId2"/>
    <sheet name="Processed" sheetId="3" r:id="rId3"/>
    <sheet name="Ref" sheetId="4" r:id="rId4"/>
    <sheet name="Sample Data" sheetId="5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62" i="3" l="1"/>
  <c r="F362" i="3"/>
  <c r="E362" i="3"/>
  <c r="D362" i="3"/>
  <c r="G361" i="3"/>
  <c r="F361" i="3"/>
  <c r="E361" i="3"/>
  <c r="D361" i="3"/>
  <c r="G360" i="3"/>
  <c r="F360" i="3"/>
  <c r="E360" i="3"/>
  <c r="D360" i="3"/>
  <c r="G359" i="3"/>
  <c r="F359" i="3"/>
  <c r="E359" i="3"/>
  <c r="D359" i="3"/>
  <c r="G358" i="3"/>
  <c r="F358" i="3"/>
  <c r="E358" i="3"/>
  <c r="D358" i="3"/>
  <c r="G357" i="3"/>
  <c r="F357" i="3"/>
  <c r="E357" i="3"/>
  <c r="D357" i="3"/>
  <c r="G356" i="3"/>
  <c r="F356" i="3"/>
  <c r="E356" i="3"/>
  <c r="D356" i="3"/>
  <c r="G355" i="3"/>
  <c r="F355" i="3"/>
  <c r="E355" i="3"/>
  <c r="D355" i="3"/>
  <c r="G354" i="3"/>
  <c r="F354" i="3"/>
  <c r="E354" i="3"/>
  <c r="D354" i="3"/>
  <c r="G353" i="3"/>
  <c r="F353" i="3"/>
  <c r="E353" i="3"/>
  <c r="D353" i="3"/>
  <c r="G352" i="3"/>
  <c r="F352" i="3"/>
  <c r="E352" i="3"/>
  <c r="D352" i="3"/>
  <c r="G351" i="3"/>
  <c r="F351" i="3"/>
  <c r="E351" i="3"/>
  <c r="D351" i="3"/>
  <c r="G350" i="3"/>
  <c r="F350" i="3"/>
  <c r="E350" i="3"/>
  <c r="D350" i="3"/>
  <c r="G349" i="3"/>
  <c r="F349" i="3"/>
  <c r="E349" i="3"/>
  <c r="D349" i="3"/>
  <c r="G348" i="3"/>
  <c r="F348" i="3"/>
  <c r="E348" i="3"/>
  <c r="D348" i="3"/>
  <c r="G347" i="3"/>
  <c r="F347" i="3"/>
  <c r="E347" i="3"/>
  <c r="D347" i="3"/>
  <c r="G346" i="3"/>
  <c r="F346" i="3"/>
  <c r="E346" i="3"/>
  <c r="D346" i="3"/>
  <c r="G345" i="3"/>
  <c r="F345" i="3"/>
  <c r="E345" i="3"/>
  <c r="D345" i="3"/>
  <c r="G344" i="3"/>
  <c r="F344" i="3"/>
  <c r="E344" i="3"/>
  <c r="D344" i="3"/>
  <c r="G343" i="3"/>
  <c r="F343" i="3"/>
  <c r="E343" i="3"/>
  <c r="D343" i="3"/>
  <c r="G342" i="3"/>
  <c r="F342" i="3"/>
  <c r="E342" i="3"/>
  <c r="D342" i="3"/>
  <c r="G341" i="3"/>
  <c r="F341" i="3"/>
  <c r="E341" i="3"/>
  <c r="D341" i="3"/>
  <c r="G340" i="3"/>
  <c r="F340" i="3"/>
  <c r="E340" i="3"/>
  <c r="D340" i="3"/>
  <c r="G339" i="3"/>
  <c r="F339" i="3"/>
  <c r="E339" i="3"/>
  <c r="D339" i="3"/>
  <c r="G338" i="3"/>
  <c r="F338" i="3"/>
  <c r="E338" i="3"/>
  <c r="D338" i="3"/>
  <c r="G337" i="3"/>
  <c r="F337" i="3"/>
  <c r="E337" i="3"/>
  <c r="D337" i="3"/>
  <c r="G336" i="3"/>
  <c r="F336" i="3"/>
  <c r="E336" i="3"/>
  <c r="D336" i="3"/>
  <c r="G335" i="3"/>
  <c r="F335" i="3"/>
  <c r="E335" i="3"/>
  <c r="D335" i="3"/>
  <c r="G334" i="3"/>
  <c r="F334" i="3"/>
  <c r="E334" i="3"/>
  <c r="D334" i="3"/>
  <c r="G333" i="3"/>
  <c r="F333" i="3"/>
  <c r="E333" i="3"/>
  <c r="D333" i="3"/>
  <c r="G332" i="3"/>
  <c r="F332" i="3"/>
  <c r="E332" i="3"/>
  <c r="D332" i="3"/>
  <c r="G331" i="3"/>
  <c r="F331" i="3"/>
  <c r="E331" i="3"/>
  <c r="D331" i="3"/>
  <c r="G330" i="3"/>
  <c r="F330" i="3"/>
  <c r="E330" i="3"/>
  <c r="D330" i="3"/>
  <c r="G329" i="3"/>
  <c r="F329" i="3"/>
  <c r="E329" i="3"/>
  <c r="D329" i="3"/>
  <c r="G328" i="3"/>
  <c r="F328" i="3"/>
  <c r="E328" i="3"/>
  <c r="D328" i="3"/>
  <c r="G327" i="3"/>
  <c r="F327" i="3"/>
  <c r="E327" i="3"/>
  <c r="D327" i="3"/>
  <c r="G326" i="3"/>
  <c r="F326" i="3"/>
  <c r="E326" i="3"/>
  <c r="D326" i="3"/>
  <c r="G325" i="3"/>
  <c r="F325" i="3"/>
  <c r="E325" i="3"/>
  <c r="D325" i="3"/>
  <c r="G324" i="3"/>
  <c r="F324" i="3"/>
  <c r="E324" i="3"/>
  <c r="D324" i="3"/>
  <c r="G323" i="3"/>
  <c r="F323" i="3"/>
  <c r="E323" i="3"/>
  <c r="D323" i="3"/>
  <c r="G322" i="3"/>
  <c r="F322" i="3"/>
  <c r="E322" i="3"/>
  <c r="D322" i="3"/>
  <c r="G321" i="3"/>
  <c r="F321" i="3"/>
  <c r="E321" i="3"/>
  <c r="D321" i="3"/>
  <c r="G320" i="3"/>
  <c r="F320" i="3"/>
  <c r="E320" i="3"/>
  <c r="D320" i="3"/>
  <c r="G319" i="3"/>
  <c r="F319" i="3"/>
  <c r="E319" i="3"/>
  <c r="D319" i="3"/>
  <c r="G318" i="3"/>
  <c r="F318" i="3"/>
  <c r="E318" i="3"/>
  <c r="D318" i="3"/>
  <c r="G317" i="3"/>
  <c r="F317" i="3"/>
  <c r="E317" i="3"/>
  <c r="D317" i="3"/>
  <c r="G316" i="3"/>
  <c r="F316" i="3"/>
  <c r="E316" i="3"/>
  <c r="D316" i="3"/>
  <c r="G315" i="3"/>
  <c r="F315" i="3"/>
  <c r="E315" i="3"/>
  <c r="D315" i="3"/>
  <c r="G314" i="3"/>
  <c r="F314" i="3"/>
  <c r="E314" i="3"/>
  <c r="D314" i="3"/>
  <c r="G313" i="3"/>
  <c r="F313" i="3"/>
  <c r="E313" i="3"/>
  <c r="D313" i="3"/>
  <c r="G312" i="3"/>
  <c r="F312" i="3"/>
  <c r="E312" i="3"/>
  <c r="D312" i="3"/>
  <c r="G311" i="3"/>
  <c r="F311" i="3"/>
  <c r="E311" i="3"/>
  <c r="D311" i="3"/>
  <c r="G310" i="3"/>
  <c r="F310" i="3"/>
  <c r="E310" i="3"/>
  <c r="D310" i="3"/>
  <c r="G309" i="3"/>
  <c r="F309" i="3"/>
  <c r="E309" i="3"/>
  <c r="D309" i="3"/>
  <c r="G308" i="3"/>
  <c r="F308" i="3"/>
  <c r="E308" i="3"/>
  <c r="D308" i="3"/>
  <c r="G307" i="3"/>
  <c r="F307" i="3"/>
  <c r="E307" i="3"/>
  <c r="D307" i="3"/>
  <c r="G306" i="3"/>
  <c r="F306" i="3"/>
  <c r="E306" i="3"/>
  <c r="D306" i="3"/>
  <c r="G305" i="3"/>
  <c r="F305" i="3"/>
  <c r="E305" i="3"/>
  <c r="D305" i="3"/>
  <c r="G304" i="3"/>
  <c r="F304" i="3"/>
  <c r="E304" i="3"/>
  <c r="D304" i="3"/>
  <c r="G303" i="3"/>
  <c r="F303" i="3"/>
  <c r="E303" i="3"/>
  <c r="D303" i="3"/>
  <c r="G302" i="3"/>
  <c r="F302" i="3"/>
  <c r="E302" i="3"/>
  <c r="D302" i="3"/>
  <c r="G301" i="3"/>
  <c r="F301" i="3"/>
  <c r="E301" i="3"/>
  <c r="D301" i="3"/>
  <c r="G300" i="3"/>
  <c r="F300" i="3"/>
  <c r="E300" i="3"/>
  <c r="D300" i="3"/>
  <c r="G299" i="3"/>
  <c r="F299" i="3"/>
  <c r="E299" i="3"/>
  <c r="D299" i="3"/>
  <c r="G298" i="3"/>
  <c r="F298" i="3"/>
  <c r="E298" i="3"/>
  <c r="D298" i="3"/>
  <c r="G297" i="3"/>
  <c r="F297" i="3"/>
  <c r="E297" i="3"/>
  <c r="D297" i="3"/>
  <c r="G296" i="3"/>
  <c r="F296" i="3"/>
  <c r="E296" i="3"/>
  <c r="D296" i="3"/>
  <c r="G295" i="3"/>
  <c r="F295" i="3"/>
  <c r="E295" i="3"/>
  <c r="D295" i="3"/>
  <c r="G294" i="3"/>
  <c r="F294" i="3"/>
  <c r="E294" i="3"/>
  <c r="D294" i="3"/>
  <c r="G293" i="3"/>
  <c r="F293" i="3"/>
  <c r="E293" i="3"/>
  <c r="D293" i="3"/>
  <c r="G292" i="3"/>
  <c r="F292" i="3"/>
  <c r="E292" i="3"/>
  <c r="D292" i="3"/>
  <c r="G291" i="3"/>
  <c r="F291" i="3"/>
  <c r="E291" i="3"/>
  <c r="D291" i="3"/>
  <c r="G290" i="3"/>
  <c r="F290" i="3"/>
  <c r="E290" i="3"/>
  <c r="D290" i="3"/>
  <c r="G289" i="3"/>
  <c r="F289" i="3"/>
  <c r="E289" i="3"/>
  <c r="D289" i="3"/>
  <c r="G288" i="3"/>
  <c r="F288" i="3"/>
  <c r="E288" i="3"/>
  <c r="D288" i="3"/>
  <c r="G287" i="3"/>
  <c r="F287" i="3"/>
  <c r="E287" i="3"/>
  <c r="D287" i="3"/>
  <c r="G286" i="3"/>
  <c r="F286" i="3"/>
  <c r="E286" i="3"/>
  <c r="D286" i="3"/>
  <c r="G285" i="3"/>
  <c r="F285" i="3"/>
  <c r="E285" i="3"/>
  <c r="D285" i="3"/>
  <c r="G284" i="3"/>
  <c r="F284" i="3"/>
  <c r="E284" i="3"/>
  <c r="D284" i="3"/>
  <c r="G283" i="3"/>
  <c r="F283" i="3"/>
  <c r="E283" i="3"/>
  <c r="D283" i="3"/>
  <c r="G282" i="3"/>
  <c r="F282" i="3"/>
  <c r="E282" i="3"/>
  <c r="D282" i="3"/>
  <c r="G281" i="3"/>
  <c r="F281" i="3"/>
  <c r="E281" i="3"/>
  <c r="D281" i="3"/>
  <c r="G280" i="3"/>
  <c r="F280" i="3"/>
  <c r="E280" i="3"/>
  <c r="D280" i="3"/>
  <c r="G279" i="3"/>
  <c r="F279" i="3"/>
  <c r="E279" i="3"/>
  <c r="D279" i="3"/>
  <c r="G278" i="3"/>
  <c r="F278" i="3"/>
  <c r="E278" i="3"/>
  <c r="D278" i="3"/>
  <c r="G277" i="3"/>
  <c r="F277" i="3"/>
  <c r="E277" i="3"/>
  <c r="D277" i="3"/>
  <c r="G276" i="3"/>
  <c r="F276" i="3"/>
  <c r="E276" i="3"/>
  <c r="D276" i="3"/>
  <c r="G275" i="3"/>
  <c r="F275" i="3"/>
  <c r="E275" i="3"/>
  <c r="D275" i="3"/>
  <c r="G274" i="3"/>
  <c r="F274" i="3"/>
  <c r="E274" i="3"/>
  <c r="D274" i="3"/>
  <c r="G273" i="3"/>
  <c r="F273" i="3"/>
  <c r="E273" i="3"/>
  <c r="D273" i="3"/>
  <c r="G272" i="3"/>
  <c r="F272" i="3"/>
  <c r="E272" i="3"/>
  <c r="D272" i="3"/>
  <c r="G271" i="3"/>
  <c r="F271" i="3"/>
  <c r="E271" i="3"/>
  <c r="D271" i="3"/>
  <c r="G270" i="3"/>
  <c r="F270" i="3"/>
  <c r="E270" i="3"/>
  <c r="D270" i="3"/>
  <c r="G269" i="3"/>
  <c r="F269" i="3"/>
  <c r="E269" i="3"/>
  <c r="D269" i="3"/>
  <c r="G268" i="3"/>
  <c r="F268" i="3"/>
  <c r="E268" i="3"/>
  <c r="D268" i="3"/>
  <c r="G267" i="3"/>
  <c r="F267" i="3"/>
  <c r="E267" i="3"/>
  <c r="D267" i="3"/>
  <c r="G266" i="3"/>
  <c r="F266" i="3"/>
  <c r="E266" i="3"/>
  <c r="D266" i="3"/>
  <c r="G265" i="3"/>
  <c r="F265" i="3"/>
  <c r="E265" i="3"/>
  <c r="D265" i="3"/>
  <c r="G264" i="3"/>
  <c r="F264" i="3"/>
  <c r="E264" i="3"/>
  <c r="D264" i="3"/>
  <c r="G263" i="3"/>
  <c r="F263" i="3"/>
  <c r="E263" i="3"/>
  <c r="D263" i="3"/>
  <c r="G262" i="3"/>
  <c r="F262" i="3"/>
  <c r="E262" i="3"/>
  <c r="D262" i="3"/>
  <c r="G261" i="3"/>
  <c r="F261" i="3"/>
  <c r="E261" i="3"/>
  <c r="D261" i="3"/>
  <c r="G260" i="3"/>
  <c r="F260" i="3"/>
  <c r="E260" i="3"/>
  <c r="D260" i="3"/>
  <c r="G259" i="3"/>
  <c r="F259" i="3"/>
  <c r="E259" i="3"/>
  <c r="D259" i="3"/>
  <c r="G258" i="3"/>
  <c r="F258" i="3"/>
  <c r="E258" i="3"/>
  <c r="D258" i="3"/>
  <c r="G257" i="3"/>
  <c r="F257" i="3"/>
  <c r="E257" i="3"/>
  <c r="D257" i="3"/>
  <c r="G256" i="3"/>
  <c r="F256" i="3"/>
  <c r="E256" i="3"/>
  <c r="D256" i="3"/>
  <c r="G255" i="3"/>
  <c r="F255" i="3"/>
  <c r="E255" i="3"/>
  <c r="D255" i="3"/>
  <c r="G254" i="3"/>
  <c r="F254" i="3"/>
  <c r="E254" i="3"/>
  <c r="D254" i="3"/>
  <c r="G253" i="3"/>
  <c r="F253" i="3"/>
  <c r="E253" i="3"/>
  <c r="D253" i="3"/>
  <c r="G252" i="3"/>
  <c r="F252" i="3"/>
  <c r="E252" i="3"/>
  <c r="D252" i="3"/>
  <c r="G251" i="3"/>
  <c r="F251" i="3"/>
  <c r="E251" i="3"/>
  <c r="D251" i="3"/>
  <c r="G250" i="3"/>
  <c r="F250" i="3"/>
  <c r="E250" i="3"/>
  <c r="D250" i="3"/>
  <c r="G249" i="3"/>
  <c r="F249" i="3"/>
  <c r="E249" i="3"/>
  <c r="D249" i="3"/>
  <c r="G248" i="3"/>
  <c r="F248" i="3"/>
  <c r="E248" i="3"/>
  <c r="D248" i="3"/>
  <c r="G247" i="3"/>
  <c r="F247" i="3"/>
  <c r="E247" i="3"/>
  <c r="D247" i="3"/>
  <c r="G246" i="3"/>
  <c r="F246" i="3"/>
  <c r="E246" i="3"/>
  <c r="D246" i="3"/>
  <c r="G245" i="3"/>
  <c r="F245" i="3"/>
  <c r="E245" i="3"/>
  <c r="D245" i="3"/>
  <c r="G244" i="3"/>
  <c r="F244" i="3"/>
  <c r="E244" i="3"/>
  <c r="D244" i="3"/>
  <c r="G243" i="3"/>
  <c r="F243" i="3"/>
  <c r="E243" i="3"/>
  <c r="D243" i="3"/>
  <c r="G242" i="3"/>
  <c r="F242" i="3"/>
  <c r="E242" i="3"/>
  <c r="D242" i="3"/>
  <c r="G241" i="3"/>
  <c r="F241" i="3"/>
  <c r="E241" i="3"/>
  <c r="D241" i="3"/>
  <c r="G240" i="3"/>
  <c r="F240" i="3"/>
  <c r="E240" i="3"/>
  <c r="D240" i="3"/>
  <c r="G239" i="3"/>
  <c r="F239" i="3"/>
  <c r="E239" i="3"/>
  <c r="D239" i="3"/>
  <c r="G238" i="3"/>
  <c r="F238" i="3"/>
  <c r="E238" i="3"/>
  <c r="D238" i="3"/>
  <c r="G237" i="3"/>
  <c r="F237" i="3"/>
  <c r="E237" i="3"/>
  <c r="D237" i="3"/>
  <c r="G236" i="3"/>
  <c r="F236" i="3"/>
  <c r="E236" i="3"/>
  <c r="D236" i="3"/>
  <c r="G235" i="3"/>
  <c r="F235" i="3"/>
  <c r="E235" i="3"/>
  <c r="D235" i="3"/>
  <c r="G234" i="3"/>
  <c r="F234" i="3"/>
  <c r="E234" i="3"/>
  <c r="D234" i="3"/>
  <c r="G233" i="3"/>
  <c r="F233" i="3"/>
  <c r="E233" i="3"/>
  <c r="D233" i="3"/>
  <c r="G232" i="3"/>
  <c r="F232" i="3"/>
  <c r="E232" i="3"/>
  <c r="D232" i="3"/>
  <c r="G231" i="3"/>
  <c r="F231" i="3"/>
  <c r="E231" i="3"/>
  <c r="D231" i="3"/>
  <c r="G230" i="3"/>
  <c r="F230" i="3"/>
  <c r="E230" i="3"/>
  <c r="D230" i="3"/>
  <c r="G229" i="3"/>
  <c r="F229" i="3"/>
  <c r="E229" i="3"/>
  <c r="D229" i="3"/>
  <c r="G228" i="3"/>
  <c r="F228" i="3"/>
  <c r="E228" i="3"/>
  <c r="D228" i="3"/>
  <c r="G227" i="3"/>
  <c r="F227" i="3"/>
  <c r="E227" i="3"/>
  <c r="D227" i="3"/>
  <c r="G226" i="3"/>
  <c r="F226" i="3"/>
  <c r="E226" i="3"/>
  <c r="D226" i="3"/>
  <c r="G225" i="3"/>
  <c r="F225" i="3"/>
  <c r="E225" i="3"/>
  <c r="D225" i="3"/>
  <c r="G224" i="3"/>
  <c r="F224" i="3"/>
  <c r="E224" i="3"/>
  <c r="D224" i="3"/>
  <c r="G223" i="3"/>
  <c r="F223" i="3"/>
  <c r="E223" i="3"/>
  <c r="D223" i="3"/>
  <c r="G222" i="3"/>
  <c r="F222" i="3"/>
  <c r="E222" i="3"/>
  <c r="D222" i="3"/>
  <c r="G221" i="3"/>
  <c r="F221" i="3"/>
  <c r="E221" i="3"/>
  <c r="D221" i="3"/>
  <c r="G220" i="3"/>
  <c r="F220" i="3"/>
  <c r="E220" i="3"/>
  <c r="D220" i="3"/>
  <c r="G219" i="3"/>
  <c r="F219" i="3"/>
  <c r="E219" i="3"/>
  <c r="D219" i="3"/>
  <c r="G218" i="3"/>
  <c r="F218" i="3"/>
  <c r="E218" i="3"/>
  <c r="D218" i="3"/>
  <c r="G217" i="3"/>
  <c r="F217" i="3"/>
  <c r="E217" i="3"/>
  <c r="D217" i="3"/>
  <c r="G216" i="3"/>
  <c r="F216" i="3"/>
  <c r="E216" i="3"/>
  <c r="D216" i="3"/>
  <c r="G215" i="3"/>
  <c r="F215" i="3"/>
  <c r="E215" i="3"/>
  <c r="D215" i="3"/>
  <c r="G214" i="3"/>
  <c r="F214" i="3"/>
  <c r="E214" i="3"/>
  <c r="D214" i="3"/>
  <c r="G213" i="3"/>
  <c r="F213" i="3"/>
  <c r="E213" i="3"/>
  <c r="D213" i="3"/>
  <c r="G212" i="3"/>
  <c r="F212" i="3"/>
  <c r="E212" i="3"/>
  <c r="D212" i="3"/>
  <c r="G211" i="3"/>
  <c r="F211" i="3"/>
  <c r="E211" i="3"/>
  <c r="D211" i="3"/>
  <c r="G210" i="3"/>
  <c r="F210" i="3"/>
  <c r="E210" i="3"/>
  <c r="D210" i="3"/>
  <c r="G209" i="3"/>
  <c r="F209" i="3"/>
  <c r="E209" i="3"/>
  <c r="D209" i="3"/>
  <c r="G208" i="3"/>
  <c r="F208" i="3"/>
  <c r="E208" i="3"/>
  <c r="D208" i="3"/>
  <c r="G207" i="3"/>
  <c r="F207" i="3"/>
  <c r="E207" i="3"/>
  <c r="D207" i="3"/>
  <c r="G206" i="3"/>
  <c r="F206" i="3"/>
  <c r="E206" i="3"/>
  <c r="D206" i="3"/>
  <c r="G205" i="3"/>
  <c r="F205" i="3"/>
  <c r="E205" i="3"/>
  <c r="D205" i="3"/>
  <c r="G204" i="3"/>
  <c r="F204" i="3"/>
  <c r="E204" i="3"/>
  <c r="D204" i="3"/>
  <c r="G203" i="3"/>
  <c r="F203" i="3"/>
  <c r="E203" i="3"/>
  <c r="D203" i="3"/>
  <c r="G202" i="3"/>
  <c r="F202" i="3"/>
  <c r="E202" i="3"/>
  <c r="D202" i="3"/>
  <c r="G201" i="3"/>
  <c r="F201" i="3"/>
  <c r="E201" i="3"/>
  <c r="D201" i="3"/>
  <c r="G200" i="3"/>
  <c r="F200" i="3"/>
  <c r="E200" i="3"/>
  <c r="D200" i="3"/>
  <c r="G199" i="3"/>
  <c r="F199" i="3"/>
  <c r="E199" i="3"/>
  <c r="D199" i="3"/>
  <c r="G198" i="3"/>
  <c r="F198" i="3"/>
  <c r="E198" i="3"/>
  <c r="D198" i="3"/>
  <c r="G197" i="3"/>
  <c r="F197" i="3"/>
  <c r="E197" i="3"/>
  <c r="D197" i="3"/>
  <c r="G196" i="3"/>
  <c r="F196" i="3"/>
  <c r="E196" i="3"/>
  <c r="D196" i="3"/>
  <c r="G195" i="3"/>
  <c r="F195" i="3"/>
  <c r="E195" i="3"/>
  <c r="D195" i="3"/>
  <c r="G194" i="3"/>
  <c r="F194" i="3"/>
  <c r="E194" i="3"/>
  <c r="D194" i="3"/>
  <c r="G193" i="3"/>
  <c r="F193" i="3"/>
  <c r="E193" i="3"/>
  <c r="D193" i="3"/>
  <c r="G192" i="3"/>
  <c r="F192" i="3"/>
  <c r="E192" i="3"/>
  <c r="D192" i="3"/>
  <c r="G191" i="3"/>
  <c r="F191" i="3"/>
  <c r="E191" i="3"/>
  <c r="D191" i="3"/>
  <c r="G190" i="3"/>
  <c r="F190" i="3"/>
  <c r="E190" i="3"/>
  <c r="D190" i="3"/>
  <c r="G189" i="3"/>
  <c r="F189" i="3"/>
  <c r="E189" i="3"/>
  <c r="D189" i="3"/>
  <c r="G188" i="3"/>
  <c r="F188" i="3"/>
  <c r="E188" i="3"/>
  <c r="D188" i="3"/>
  <c r="G187" i="3"/>
  <c r="F187" i="3"/>
  <c r="E187" i="3"/>
  <c r="D187" i="3"/>
  <c r="G186" i="3"/>
  <c r="F186" i="3"/>
  <c r="E186" i="3"/>
  <c r="D186" i="3"/>
  <c r="G185" i="3"/>
  <c r="F185" i="3"/>
  <c r="E185" i="3"/>
  <c r="D185" i="3"/>
  <c r="G184" i="3"/>
  <c r="F184" i="3"/>
  <c r="E184" i="3"/>
  <c r="D184" i="3"/>
  <c r="G183" i="3"/>
  <c r="F183" i="3"/>
  <c r="E183" i="3"/>
  <c r="D183" i="3"/>
  <c r="G182" i="3"/>
  <c r="F182" i="3"/>
  <c r="E182" i="3"/>
  <c r="D182" i="3"/>
  <c r="G181" i="3"/>
  <c r="F181" i="3"/>
  <c r="E181" i="3"/>
  <c r="D181" i="3"/>
  <c r="G180" i="3"/>
  <c r="F180" i="3"/>
  <c r="E180" i="3"/>
  <c r="D180" i="3"/>
  <c r="G179" i="3"/>
  <c r="F179" i="3"/>
  <c r="E179" i="3"/>
  <c r="D179" i="3"/>
  <c r="G178" i="3"/>
  <c r="F178" i="3"/>
  <c r="E178" i="3"/>
  <c r="D178" i="3"/>
  <c r="G177" i="3"/>
  <c r="F177" i="3"/>
  <c r="E177" i="3"/>
  <c r="D177" i="3"/>
  <c r="G176" i="3"/>
  <c r="F176" i="3"/>
  <c r="E176" i="3"/>
  <c r="D176" i="3"/>
  <c r="G175" i="3"/>
  <c r="F175" i="3"/>
  <c r="E175" i="3"/>
  <c r="D175" i="3"/>
  <c r="G174" i="3"/>
  <c r="F174" i="3"/>
  <c r="E174" i="3"/>
  <c r="D174" i="3"/>
  <c r="G173" i="3"/>
  <c r="F173" i="3"/>
  <c r="E173" i="3"/>
  <c r="D173" i="3"/>
  <c r="G172" i="3"/>
  <c r="F172" i="3"/>
  <c r="E172" i="3"/>
  <c r="D172" i="3"/>
  <c r="G171" i="3"/>
  <c r="F171" i="3"/>
  <c r="E171" i="3"/>
  <c r="D171" i="3"/>
  <c r="G170" i="3"/>
  <c r="F170" i="3"/>
  <c r="E170" i="3"/>
  <c r="D170" i="3"/>
  <c r="G169" i="3"/>
  <c r="F169" i="3"/>
  <c r="E169" i="3"/>
  <c r="D169" i="3"/>
  <c r="G168" i="3"/>
  <c r="F168" i="3"/>
  <c r="E168" i="3"/>
  <c r="D168" i="3"/>
  <c r="G167" i="3"/>
  <c r="F167" i="3"/>
  <c r="E167" i="3"/>
  <c r="D167" i="3"/>
  <c r="G166" i="3"/>
  <c r="F166" i="3"/>
  <c r="E166" i="3"/>
  <c r="D166" i="3"/>
  <c r="G165" i="3"/>
  <c r="F165" i="3"/>
  <c r="E165" i="3"/>
  <c r="D165" i="3"/>
  <c r="G164" i="3"/>
  <c r="F164" i="3"/>
  <c r="E164" i="3"/>
  <c r="D164" i="3"/>
  <c r="G163" i="3"/>
  <c r="F163" i="3"/>
  <c r="E163" i="3"/>
  <c r="D163" i="3"/>
  <c r="G162" i="3"/>
  <c r="F162" i="3"/>
  <c r="E162" i="3"/>
  <c r="D162" i="3"/>
  <c r="G161" i="3"/>
  <c r="F161" i="3"/>
  <c r="E161" i="3"/>
  <c r="D161" i="3"/>
  <c r="G160" i="3"/>
  <c r="F160" i="3"/>
  <c r="E160" i="3"/>
  <c r="D160" i="3"/>
  <c r="G159" i="3"/>
  <c r="F159" i="3"/>
  <c r="E159" i="3"/>
  <c r="D159" i="3"/>
  <c r="G158" i="3"/>
  <c r="F158" i="3"/>
  <c r="E158" i="3"/>
  <c r="D158" i="3"/>
  <c r="G157" i="3"/>
  <c r="F157" i="3"/>
  <c r="E157" i="3"/>
  <c r="D157" i="3"/>
  <c r="G156" i="3"/>
  <c r="F156" i="3"/>
  <c r="E156" i="3"/>
  <c r="D156" i="3"/>
  <c r="G155" i="3"/>
  <c r="F155" i="3"/>
  <c r="E155" i="3"/>
  <c r="D155" i="3"/>
  <c r="G154" i="3"/>
  <c r="F154" i="3"/>
  <c r="E154" i="3"/>
  <c r="D154" i="3"/>
  <c r="G153" i="3"/>
  <c r="F153" i="3"/>
  <c r="E153" i="3"/>
  <c r="D153" i="3"/>
  <c r="G152" i="3"/>
  <c r="F152" i="3"/>
  <c r="E152" i="3"/>
  <c r="D152" i="3"/>
  <c r="G151" i="3"/>
  <c r="F151" i="3"/>
  <c r="E151" i="3"/>
  <c r="D151" i="3"/>
  <c r="G150" i="3"/>
  <c r="F150" i="3"/>
  <c r="E150" i="3"/>
  <c r="D150" i="3"/>
  <c r="G149" i="3"/>
  <c r="F149" i="3"/>
  <c r="E149" i="3"/>
  <c r="D149" i="3"/>
  <c r="G148" i="3"/>
  <c r="F148" i="3"/>
  <c r="E148" i="3"/>
  <c r="D148" i="3"/>
  <c r="G147" i="3"/>
  <c r="F147" i="3"/>
  <c r="E147" i="3"/>
  <c r="D147" i="3"/>
  <c r="G146" i="3"/>
  <c r="F146" i="3"/>
  <c r="E146" i="3"/>
  <c r="D146" i="3"/>
  <c r="G145" i="3"/>
  <c r="F145" i="3"/>
  <c r="E145" i="3"/>
  <c r="D145" i="3"/>
  <c r="G144" i="3"/>
  <c r="F144" i="3"/>
  <c r="E144" i="3"/>
  <c r="D144" i="3"/>
  <c r="G143" i="3"/>
  <c r="F143" i="3"/>
  <c r="E143" i="3"/>
  <c r="D143" i="3"/>
  <c r="G142" i="3"/>
  <c r="F142" i="3"/>
  <c r="E142" i="3"/>
  <c r="D142" i="3"/>
  <c r="G141" i="3"/>
  <c r="F141" i="3"/>
  <c r="E141" i="3"/>
  <c r="D141" i="3"/>
  <c r="G140" i="3"/>
  <c r="F140" i="3"/>
  <c r="E140" i="3"/>
  <c r="D140" i="3"/>
  <c r="G139" i="3"/>
  <c r="F139" i="3"/>
  <c r="E139" i="3"/>
  <c r="D139" i="3"/>
  <c r="G138" i="3"/>
  <c r="F138" i="3"/>
  <c r="E138" i="3"/>
  <c r="D138" i="3"/>
  <c r="G137" i="3"/>
  <c r="F137" i="3"/>
  <c r="E137" i="3"/>
  <c r="D137" i="3"/>
  <c r="G136" i="3"/>
  <c r="F136" i="3"/>
  <c r="E136" i="3"/>
  <c r="D136" i="3"/>
  <c r="G135" i="3"/>
  <c r="F135" i="3"/>
  <c r="E135" i="3"/>
  <c r="D135" i="3"/>
  <c r="G134" i="3"/>
  <c r="F134" i="3"/>
  <c r="E134" i="3"/>
  <c r="D134" i="3"/>
  <c r="G133" i="3"/>
  <c r="F133" i="3"/>
  <c r="E133" i="3"/>
  <c r="D133" i="3"/>
  <c r="G132" i="3"/>
  <c r="F132" i="3"/>
  <c r="E132" i="3"/>
  <c r="D132" i="3"/>
  <c r="G131" i="3"/>
  <c r="F131" i="3"/>
  <c r="E131" i="3"/>
  <c r="D131" i="3"/>
  <c r="G130" i="3"/>
  <c r="F130" i="3"/>
  <c r="E130" i="3"/>
  <c r="D130" i="3"/>
  <c r="G129" i="3"/>
  <c r="F129" i="3"/>
  <c r="E129" i="3"/>
  <c r="D129" i="3"/>
  <c r="G128" i="3"/>
  <c r="F128" i="3"/>
  <c r="E128" i="3"/>
  <c r="D128" i="3"/>
  <c r="G127" i="3"/>
  <c r="F127" i="3"/>
  <c r="E127" i="3"/>
  <c r="D127" i="3"/>
  <c r="G126" i="3"/>
  <c r="F126" i="3"/>
  <c r="E126" i="3"/>
  <c r="D126" i="3"/>
  <c r="G125" i="3"/>
  <c r="F125" i="3"/>
  <c r="E125" i="3"/>
  <c r="D125" i="3"/>
  <c r="G124" i="3"/>
  <c r="F124" i="3"/>
  <c r="E124" i="3"/>
  <c r="D124" i="3"/>
  <c r="G123" i="3"/>
  <c r="F123" i="3"/>
  <c r="E123" i="3"/>
  <c r="D123" i="3"/>
  <c r="G122" i="3"/>
  <c r="F122" i="3"/>
  <c r="E122" i="3"/>
  <c r="D122" i="3"/>
  <c r="G121" i="3"/>
  <c r="F121" i="3"/>
  <c r="E121" i="3"/>
  <c r="D121" i="3"/>
  <c r="G120" i="3"/>
  <c r="F120" i="3"/>
  <c r="E120" i="3"/>
  <c r="D120" i="3"/>
  <c r="G119" i="3"/>
  <c r="F119" i="3"/>
  <c r="E119" i="3"/>
  <c r="D119" i="3"/>
  <c r="G118" i="3"/>
  <c r="F118" i="3"/>
  <c r="E118" i="3"/>
  <c r="D118" i="3"/>
  <c r="G117" i="3"/>
  <c r="F117" i="3"/>
  <c r="E117" i="3"/>
  <c r="D117" i="3"/>
  <c r="G116" i="3"/>
  <c r="F116" i="3"/>
  <c r="E116" i="3"/>
  <c r="D116" i="3"/>
  <c r="G115" i="3"/>
  <c r="F115" i="3"/>
  <c r="E115" i="3"/>
  <c r="D115" i="3"/>
  <c r="G114" i="3"/>
  <c r="F114" i="3"/>
  <c r="E114" i="3"/>
  <c r="D114" i="3"/>
  <c r="G113" i="3"/>
  <c r="F113" i="3"/>
  <c r="E113" i="3"/>
  <c r="D113" i="3"/>
  <c r="G112" i="3"/>
  <c r="F112" i="3"/>
  <c r="E112" i="3"/>
  <c r="D112" i="3"/>
  <c r="G111" i="3"/>
  <c r="F111" i="3"/>
  <c r="E111" i="3"/>
  <c r="D111" i="3"/>
  <c r="G110" i="3"/>
  <c r="F110" i="3"/>
  <c r="E110" i="3"/>
  <c r="D110" i="3"/>
  <c r="G109" i="3"/>
  <c r="F109" i="3"/>
  <c r="E109" i="3"/>
  <c r="D109" i="3"/>
  <c r="G108" i="3"/>
  <c r="F108" i="3"/>
  <c r="E108" i="3"/>
  <c r="D108" i="3"/>
  <c r="G107" i="3"/>
  <c r="F107" i="3"/>
  <c r="E107" i="3"/>
  <c r="D107" i="3"/>
  <c r="G106" i="3"/>
  <c r="F106" i="3"/>
  <c r="E106" i="3"/>
  <c r="D106" i="3"/>
  <c r="G105" i="3"/>
  <c r="F105" i="3"/>
  <c r="E105" i="3"/>
  <c r="D105" i="3"/>
  <c r="G104" i="3"/>
  <c r="F104" i="3"/>
  <c r="E104" i="3"/>
  <c r="D104" i="3"/>
  <c r="G103" i="3"/>
  <c r="F103" i="3"/>
  <c r="E103" i="3"/>
  <c r="D103" i="3"/>
  <c r="G102" i="3"/>
  <c r="F102" i="3"/>
  <c r="E102" i="3"/>
  <c r="D102" i="3"/>
  <c r="G101" i="3"/>
  <c r="F101" i="3"/>
  <c r="E101" i="3"/>
  <c r="D101" i="3"/>
  <c r="G100" i="3"/>
  <c r="F100" i="3"/>
  <c r="E100" i="3"/>
  <c r="D100" i="3"/>
  <c r="G99" i="3"/>
  <c r="F99" i="3"/>
  <c r="E99" i="3"/>
  <c r="D99" i="3"/>
  <c r="G98" i="3"/>
  <c r="F98" i="3"/>
  <c r="E98" i="3"/>
  <c r="D98" i="3"/>
  <c r="G97" i="3"/>
  <c r="F97" i="3"/>
  <c r="E97" i="3"/>
  <c r="D97" i="3"/>
  <c r="G96" i="3"/>
  <c r="F96" i="3"/>
  <c r="E96" i="3"/>
  <c r="D96" i="3"/>
  <c r="G95" i="3"/>
  <c r="F95" i="3"/>
  <c r="E95" i="3"/>
  <c r="D95" i="3"/>
  <c r="G94" i="3"/>
  <c r="F94" i="3"/>
  <c r="E94" i="3"/>
  <c r="D94" i="3"/>
  <c r="G93" i="3"/>
  <c r="F93" i="3"/>
  <c r="E93" i="3"/>
  <c r="D93" i="3"/>
  <c r="G92" i="3"/>
  <c r="F92" i="3"/>
  <c r="E92" i="3"/>
  <c r="D92" i="3"/>
  <c r="G91" i="3"/>
  <c r="F91" i="3"/>
  <c r="E91" i="3"/>
  <c r="D91" i="3"/>
  <c r="G90" i="3"/>
  <c r="F90" i="3"/>
  <c r="E90" i="3"/>
  <c r="D90" i="3"/>
  <c r="G89" i="3"/>
  <c r="F89" i="3"/>
  <c r="E89" i="3"/>
  <c r="D89" i="3"/>
  <c r="G88" i="3"/>
  <c r="F88" i="3"/>
  <c r="E88" i="3"/>
  <c r="D88" i="3"/>
  <c r="G87" i="3"/>
  <c r="F87" i="3"/>
  <c r="E87" i="3"/>
  <c r="D87" i="3"/>
  <c r="G86" i="3"/>
  <c r="F86" i="3"/>
  <c r="E86" i="3"/>
  <c r="D86" i="3"/>
  <c r="G85" i="3"/>
  <c r="F85" i="3"/>
  <c r="E85" i="3"/>
  <c r="D85" i="3"/>
  <c r="G84" i="3"/>
  <c r="F84" i="3"/>
  <c r="E84" i="3"/>
  <c r="D84" i="3"/>
  <c r="G83" i="3"/>
  <c r="F83" i="3"/>
  <c r="E83" i="3"/>
  <c r="D83" i="3"/>
  <c r="G82" i="3"/>
  <c r="F82" i="3"/>
  <c r="E82" i="3"/>
  <c r="D82" i="3"/>
  <c r="G81" i="3"/>
  <c r="F81" i="3"/>
  <c r="E81" i="3"/>
  <c r="D81" i="3"/>
  <c r="G80" i="3"/>
  <c r="F80" i="3"/>
  <c r="E80" i="3"/>
  <c r="D80" i="3"/>
  <c r="G79" i="3"/>
  <c r="F79" i="3"/>
  <c r="E79" i="3"/>
  <c r="D79" i="3"/>
  <c r="G78" i="3"/>
  <c r="F78" i="3"/>
  <c r="E78" i="3"/>
  <c r="D78" i="3"/>
  <c r="G77" i="3"/>
  <c r="F77" i="3"/>
  <c r="E77" i="3"/>
  <c r="D77" i="3"/>
  <c r="G76" i="3"/>
  <c r="F76" i="3"/>
  <c r="E76" i="3"/>
  <c r="D76" i="3"/>
  <c r="G75" i="3"/>
  <c r="F75" i="3"/>
  <c r="E75" i="3"/>
  <c r="D75" i="3"/>
  <c r="G74" i="3"/>
  <c r="F74" i="3"/>
  <c r="E74" i="3"/>
  <c r="D74" i="3"/>
  <c r="G73" i="3"/>
  <c r="F73" i="3"/>
  <c r="E73" i="3"/>
  <c r="D73" i="3"/>
  <c r="G72" i="3"/>
  <c r="F72" i="3"/>
  <c r="E72" i="3"/>
  <c r="D72" i="3"/>
  <c r="G71" i="3"/>
  <c r="F71" i="3"/>
  <c r="E71" i="3"/>
  <c r="D71" i="3"/>
  <c r="G70" i="3"/>
  <c r="F70" i="3"/>
  <c r="E70" i="3"/>
  <c r="D70" i="3"/>
  <c r="G69" i="3"/>
  <c r="F69" i="3"/>
  <c r="E69" i="3"/>
  <c r="D69" i="3"/>
  <c r="G68" i="3"/>
  <c r="F68" i="3"/>
  <c r="E68" i="3"/>
  <c r="D68" i="3"/>
  <c r="G67" i="3"/>
  <c r="F67" i="3"/>
  <c r="E67" i="3"/>
  <c r="D67" i="3"/>
  <c r="G66" i="3"/>
  <c r="F66" i="3"/>
  <c r="E66" i="3"/>
  <c r="D66" i="3"/>
  <c r="G65" i="3"/>
  <c r="F65" i="3"/>
  <c r="E65" i="3"/>
  <c r="D65" i="3"/>
  <c r="G64" i="3"/>
  <c r="F64" i="3"/>
  <c r="E64" i="3"/>
  <c r="D64" i="3"/>
  <c r="G63" i="3"/>
  <c r="F63" i="3"/>
  <c r="E63" i="3"/>
  <c r="D63" i="3"/>
  <c r="G62" i="3"/>
  <c r="F62" i="3"/>
  <c r="E62" i="3"/>
  <c r="D62" i="3"/>
  <c r="G61" i="3"/>
  <c r="F61" i="3"/>
  <c r="E61" i="3"/>
  <c r="D61" i="3"/>
  <c r="G60" i="3"/>
  <c r="F60" i="3"/>
  <c r="E60" i="3"/>
  <c r="D60" i="3"/>
  <c r="G59" i="3"/>
  <c r="F59" i="3"/>
  <c r="E59" i="3"/>
  <c r="D59" i="3"/>
  <c r="G58" i="3"/>
  <c r="F58" i="3"/>
  <c r="E58" i="3"/>
  <c r="D58" i="3"/>
  <c r="G57" i="3"/>
  <c r="F57" i="3"/>
  <c r="E57" i="3"/>
  <c r="D57" i="3"/>
  <c r="G56" i="3"/>
  <c r="F56" i="3"/>
  <c r="E56" i="3"/>
  <c r="D56" i="3"/>
  <c r="G55" i="3"/>
  <c r="F55" i="3"/>
  <c r="E55" i="3"/>
  <c r="D55" i="3"/>
  <c r="G54" i="3"/>
  <c r="F54" i="3"/>
  <c r="E54" i="3"/>
  <c r="D54" i="3"/>
  <c r="G53" i="3"/>
  <c r="F53" i="3"/>
  <c r="E53" i="3"/>
  <c r="D53" i="3"/>
  <c r="G52" i="3"/>
  <c r="F52" i="3"/>
  <c r="E52" i="3"/>
  <c r="D52" i="3"/>
  <c r="G51" i="3"/>
  <c r="F51" i="3"/>
  <c r="E51" i="3"/>
  <c r="D51" i="3"/>
  <c r="G50" i="3"/>
  <c r="F50" i="3"/>
  <c r="E50" i="3"/>
  <c r="D50" i="3"/>
  <c r="G49" i="3"/>
  <c r="F49" i="3"/>
  <c r="E49" i="3"/>
  <c r="D49" i="3"/>
  <c r="G48" i="3"/>
  <c r="F48" i="3"/>
  <c r="E48" i="3"/>
  <c r="D48" i="3"/>
  <c r="G47" i="3"/>
  <c r="F47" i="3"/>
  <c r="E47" i="3"/>
  <c r="D47" i="3"/>
  <c r="G46" i="3"/>
  <c r="F46" i="3"/>
  <c r="E46" i="3"/>
  <c r="D46" i="3"/>
  <c r="G45" i="3"/>
  <c r="F45" i="3"/>
  <c r="E45" i="3"/>
  <c r="D45" i="3"/>
  <c r="G44" i="3"/>
  <c r="F44" i="3"/>
  <c r="E44" i="3"/>
  <c r="D44" i="3"/>
  <c r="G43" i="3"/>
  <c r="F43" i="3"/>
  <c r="E43" i="3"/>
  <c r="D43" i="3"/>
  <c r="G42" i="3"/>
  <c r="F42" i="3"/>
  <c r="E42" i="3"/>
  <c r="D42" i="3"/>
  <c r="G41" i="3"/>
  <c r="F41" i="3"/>
  <c r="E41" i="3"/>
  <c r="D41" i="3"/>
  <c r="G40" i="3"/>
  <c r="F40" i="3"/>
  <c r="E40" i="3"/>
  <c r="D40" i="3"/>
  <c r="G39" i="3"/>
  <c r="F39" i="3"/>
  <c r="E39" i="3"/>
  <c r="D39" i="3"/>
  <c r="G38" i="3"/>
  <c r="F38" i="3"/>
  <c r="E38" i="3"/>
  <c r="D38" i="3"/>
  <c r="G37" i="3"/>
  <c r="F37" i="3"/>
  <c r="E37" i="3"/>
  <c r="D37" i="3"/>
  <c r="G36" i="3"/>
  <c r="F36" i="3"/>
  <c r="E36" i="3"/>
  <c r="D36" i="3"/>
  <c r="G35" i="3"/>
  <c r="F35" i="3"/>
  <c r="E35" i="3"/>
  <c r="D35" i="3"/>
  <c r="G34" i="3"/>
  <c r="F34" i="3"/>
  <c r="E34" i="3"/>
  <c r="D34" i="3"/>
  <c r="G33" i="3"/>
  <c r="F33" i="3"/>
  <c r="E33" i="3"/>
  <c r="D33" i="3"/>
  <c r="G32" i="3"/>
  <c r="F32" i="3"/>
  <c r="E32" i="3"/>
  <c r="D32" i="3"/>
  <c r="G31" i="3"/>
  <c r="F31" i="3"/>
  <c r="E31" i="3"/>
  <c r="D31" i="3"/>
  <c r="G30" i="3"/>
  <c r="F30" i="3"/>
  <c r="E30" i="3"/>
  <c r="D30" i="3"/>
  <c r="G29" i="3"/>
  <c r="F29" i="3"/>
  <c r="E29" i="3"/>
  <c r="D29" i="3"/>
  <c r="G28" i="3"/>
  <c r="F28" i="3"/>
  <c r="E28" i="3"/>
  <c r="D28" i="3"/>
  <c r="G27" i="3"/>
  <c r="F27" i="3"/>
  <c r="E27" i="3"/>
  <c r="D27" i="3"/>
  <c r="G26" i="3"/>
  <c r="F26" i="3"/>
  <c r="E26" i="3"/>
  <c r="D26" i="3"/>
  <c r="G25" i="3"/>
  <c r="F25" i="3"/>
  <c r="E25" i="3"/>
  <c r="D25" i="3"/>
  <c r="G24" i="3"/>
  <c r="F24" i="3"/>
  <c r="E24" i="3"/>
  <c r="D24" i="3"/>
  <c r="G23" i="3"/>
  <c r="F23" i="3"/>
  <c r="E23" i="3"/>
  <c r="D23" i="3"/>
  <c r="G22" i="3"/>
  <c r="F22" i="3"/>
  <c r="E22" i="3"/>
  <c r="D22" i="3"/>
  <c r="G21" i="3"/>
  <c r="F21" i="3"/>
  <c r="E21" i="3"/>
  <c r="D21" i="3"/>
  <c r="G20" i="3"/>
  <c r="F20" i="3"/>
  <c r="E20" i="3"/>
  <c r="D20" i="3"/>
  <c r="G19" i="3"/>
  <c r="F19" i="3"/>
  <c r="E19" i="3"/>
  <c r="D19" i="3"/>
  <c r="G18" i="3"/>
  <c r="F18" i="3"/>
  <c r="E18" i="3"/>
  <c r="D18" i="3"/>
  <c r="G17" i="3"/>
  <c r="F17" i="3"/>
  <c r="E17" i="3"/>
  <c r="D17" i="3"/>
  <c r="G16" i="3"/>
  <c r="F16" i="3"/>
  <c r="E16" i="3"/>
  <c r="D16" i="3"/>
  <c r="G15" i="3"/>
  <c r="F15" i="3"/>
  <c r="E15" i="3"/>
  <c r="D15" i="3"/>
  <c r="G14" i="3"/>
  <c r="F14" i="3"/>
  <c r="E14" i="3"/>
  <c r="D14" i="3"/>
  <c r="G13" i="3"/>
  <c r="F13" i="3"/>
  <c r="E13" i="3"/>
  <c r="D13" i="3"/>
  <c r="G12" i="3"/>
  <c r="F12" i="3"/>
  <c r="E12" i="3"/>
  <c r="D12" i="3"/>
  <c r="G11" i="3"/>
  <c r="F11" i="3"/>
  <c r="E11" i="3"/>
  <c r="D11" i="3"/>
  <c r="G10" i="3"/>
  <c r="F10" i="3"/>
  <c r="E10" i="3"/>
  <c r="D10" i="3"/>
  <c r="G9" i="3"/>
  <c r="F9" i="3"/>
  <c r="E9" i="3"/>
  <c r="D9" i="3"/>
  <c r="G8" i="3"/>
  <c r="F8" i="3"/>
  <c r="E8" i="3"/>
  <c r="D8" i="3"/>
  <c r="G7" i="3"/>
  <c r="F7" i="3"/>
  <c r="E7" i="3"/>
  <c r="D7" i="3"/>
  <c r="G6" i="3"/>
  <c r="F6" i="3"/>
  <c r="E6" i="3"/>
  <c r="D6" i="3"/>
  <c r="G5" i="3"/>
  <c r="F5" i="3"/>
  <c r="E5" i="3"/>
  <c r="D5" i="3"/>
  <c r="G4" i="3"/>
  <c r="F4" i="3"/>
  <c r="E4" i="3"/>
  <c r="D4" i="3"/>
  <c r="G3" i="3"/>
  <c r="F3" i="3"/>
  <c r="E3" i="3"/>
  <c r="D3" i="3"/>
  <c r="G2" i="3"/>
  <c r="F2" i="3"/>
  <c r="E2" i="3"/>
  <c r="D2" i="3"/>
  <c r="E51" i="1"/>
  <c r="D51" i="1"/>
  <c r="C51" i="1"/>
  <c r="E50" i="1"/>
  <c r="D50" i="1"/>
  <c r="C50" i="1"/>
  <c r="E49" i="1"/>
  <c r="D49" i="1"/>
  <c r="C49" i="1"/>
  <c r="E48" i="1"/>
  <c r="D48" i="1"/>
  <c r="C48" i="1"/>
  <c r="E47" i="1"/>
  <c r="D47" i="1"/>
  <c r="C47" i="1"/>
  <c r="E46" i="1"/>
  <c r="D46" i="1"/>
  <c r="C46" i="1"/>
  <c r="E45" i="1"/>
  <c r="D45" i="1"/>
  <c r="C45" i="1"/>
  <c r="E44" i="1"/>
  <c r="D44" i="1"/>
  <c r="C44" i="1"/>
  <c r="E43" i="1"/>
  <c r="D43" i="1"/>
  <c r="C43" i="1"/>
  <c r="E42" i="1"/>
  <c r="D42" i="1"/>
  <c r="C42" i="1"/>
  <c r="E41" i="1"/>
  <c r="D41" i="1"/>
  <c r="C41" i="1"/>
  <c r="E40" i="1"/>
  <c r="D40" i="1"/>
  <c r="C40" i="1"/>
  <c r="E39" i="1"/>
  <c r="D39" i="1"/>
  <c r="C39" i="1"/>
  <c r="E38" i="1"/>
  <c r="D38" i="1"/>
  <c r="C38" i="1"/>
  <c r="E37" i="1"/>
  <c r="D37" i="1"/>
  <c r="C37" i="1"/>
  <c r="E36" i="1"/>
  <c r="D36" i="1"/>
  <c r="C36" i="1"/>
  <c r="E35" i="1"/>
  <c r="D35" i="1"/>
  <c r="C35" i="1"/>
  <c r="E34" i="1"/>
  <c r="D34" i="1"/>
  <c r="C34" i="1"/>
  <c r="E33" i="1"/>
  <c r="D33" i="1"/>
  <c r="C33" i="1"/>
  <c r="E32" i="1"/>
  <c r="D32" i="1"/>
  <c r="C32" i="1"/>
  <c r="E31" i="1"/>
  <c r="D31" i="1"/>
  <c r="C31" i="1"/>
  <c r="E30" i="1"/>
  <c r="D30" i="1"/>
  <c r="C30" i="1"/>
  <c r="E29" i="1"/>
  <c r="D29" i="1"/>
  <c r="C29" i="1"/>
  <c r="E28" i="1"/>
  <c r="D28" i="1"/>
  <c r="C28" i="1"/>
  <c r="E27" i="1"/>
  <c r="D27" i="1"/>
  <c r="C27" i="1"/>
  <c r="E26" i="1"/>
  <c r="D26" i="1"/>
  <c r="C26" i="1"/>
  <c r="E25" i="1"/>
  <c r="D25" i="1"/>
  <c r="C25" i="1"/>
  <c r="E24" i="1"/>
  <c r="D24" i="1"/>
  <c r="C24" i="1"/>
  <c r="E23" i="1"/>
  <c r="D23" i="1"/>
  <c r="C23" i="1"/>
  <c r="E22" i="1"/>
  <c r="D22" i="1"/>
  <c r="C22" i="1"/>
  <c r="E21" i="1"/>
  <c r="D21" i="1"/>
  <c r="C21" i="1"/>
  <c r="E20" i="1"/>
  <c r="D20" i="1"/>
  <c r="C20" i="1"/>
  <c r="E19" i="1"/>
  <c r="D19" i="1"/>
  <c r="C19" i="1"/>
  <c r="E18" i="1"/>
  <c r="D18" i="1"/>
  <c r="C18" i="1"/>
  <c r="E17" i="1"/>
  <c r="D17" i="1"/>
  <c r="C17" i="1"/>
  <c r="E16" i="1"/>
  <c r="D16" i="1"/>
  <c r="C16" i="1"/>
  <c r="E15" i="1"/>
  <c r="D15" i="1"/>
  <c r="C15" i="1"/>
  <c r="E14" i="1"/>
  <c r="D14" i="1"/>
  <c r="C14" i="1"/>
  <c r="E13" i="1"/>
  <c r="D13" i="1"/>
  <c r="C13" i="1"/>
  <c r="E12" i="1"/>
  <c r="D12" i="1"/>
  <c r="C12" i="1"/>
  <c r="E11" i="1"/>
  <c r="D11" i="1"/>
  <c r="C11" i="1"/>
  <c r="E10" i="1"/>
  <c r="D10" i="1"/>
  <c r="C10" i="1"/>
  <c r="E9" i="1"/>
  <c r="D9" i="1"/>
  <c r="C9" i="1"/>
  <c r="E8" i="1"/>
  <c r="D8" i="1"/>
  <c r="C8" i="1"/>
  <c r="E7" i="1"/>
  <c r="D7" i="1"/>
  <c r="C7" i="1"/>
  <c r="E6" i="1"/>
  <c r="D6" i="1"/>
  <c r="C6" i="1"/>
  <c r="E5" i="1"/>
  <c r="D5" i="1"/>
  <c r="C5" i="1"/>
  <c r="E4" i="1"/>
  <c r="D4" i="1"/>
  <c r="C4" i="1"/>
  <c r="E3" i="1"/>
  <c r="D3" i="1"/>
  <c r="C3" i="1"/>
  <c r="E2" i="1"/>
  <c r="D2" i="1"/>
  <c r="C2" i="1"/>
  <c r="L28" i="1"/>
  <c r="K28" i="1"/>
  <c r="L27" i="1"/>
  <c r="K27" i="1"/>
  <c r="L26" i="1"/>
  <c r="K26" i="1"/>
  <c r="L25" i="1"/>
  <c r="K25" i="1"/>
  <c r="L24" i="1"/>
  <c r="K24" i="1"/>
  <c r="L23" i="1"/>
  <c r="K23" i="1"/>
  <c r="L22" i="1"/>
  <c r="K22" i="1"/>
  <c r="L21" i="1"/>
  <c r="K21" i="1"/>
  <c r="L20" i="1"/>
  <c r="K20" i="1"/>
  <c r="L19" i="1"/>
  <c r="K19" i="1"/>
  <c r="L18" i="1"/>
  <c r="K18" i="1"/>
  <c r="L17" i="1"/>
  <c r="K17" i="1"/>
  <c r="L16" i="1"/>
  <c r="K16" i="1"/>
  <c r="L15" i="1"/>
  <c r="K15" i="1"/>
  <c r="L14" i="1"/>
  <c r="K14" i="1"/>
  <c r="L13" i="1"/>
  <c r="K13" i="1"/>
  <c r="L12" i="1"/>
  <c r="K12" i="1"/>
  <c r="L11" i="1"/>
  <c r="K11" i="1"/>
  <c r="L10" i="1"/>
  <c r="K10" i="1"/>
  <c r="L9" i="1"/>
  <c r="K9" i="1"/>
  <c r="L8" i="1"/>
  <c r="K8" i="1"/>
  <c r="L7" i="1"/>
  <c r="K7" i="1"/>
  <c r="L6" i="1"/>
  <c r="K6" i="1"/>
  <c r="L5" i="1"/>
  <c r="K5" i="1"/>
  <c r="L4" i="1"/>
  <c r="M1" i="1"/>
  <c r="K1" i="1"/>
  <c r="M2" i="1" l="1"/>
  <c r="K2" i="1"/>
</calcChain>
</file>

<file path=xl/sharedStrings.xml><?xml version="1.0" encoding="utf-8"?>
<sst xmlns="http://schemas.openxmlformats.org/spreadsheetml/2006/main" count="338" uniqueCount="86">
  <si>
    <t>Emp ID</t>
  </si>
  <si>
    <t>OT hrs (decimal)</t>
  </si>
  <si>
    <t>OT hrs (HH:MM)</t>
  </si>
  <si>
    <t>Status</t>
  </si>
  <si>
    <t>Total Raw OT hrs (decimal)</t>
  </si>
  <si>
    <t>Total Processed  OT Hrs (decimal)</t>
  </si>
  <si>
    <t>Total Raw OT hrs (HH:MM)</t>
  </si>
  <si>
    <t>Total Processed  OT Hrs (HH:MM)</t>
  </si>
  <si>
    <t>Date</t>
  </si>
  <si>
    <t>Agent</t>
  </si>
  <si>
    <t>Supervisor</t>
  </si>
  <si>
    <t>Process</t>
  </si>
  <si>
    <t>Instructions on how to use</t>
  </si>
  <si>
    <t>OT hrs (Decimal)</t>
  </si>
  <si>
    <t>Lines Needed</t>
  </si>
  <si>
    <t>Enter date for 1st working day</t>
  </si>
  <si>
    <t>(use mm/dd/yyyy format)</t>
  </si>
  <si>
    <t>Download Instructions</t>
  </si>
  <si>
    <t>Ensure "Ref" sheet is updated with correct team alignment</t>
  </si>
  <si>
    <t>Enter 1st working day in "RowData &gt;&gt; K4" cell</t>
  </si>
  <si>
    <t>Hit "Prepare" button</t>
  </si>
  <si>
    <t>Hit "Process" button</t>
  </si>
  <si>
    <t>Go to "Processed" sheet and copy the procesed data</t>
  </si>
  <si>
    <t>To use the file again, click on "Clear" button</t>
  </si>
  <si>
    <t>Use this sample data to see how file works</t>
  </si>
  <si>
    <t>Aditi Shah</t>
  </si>
  <si>
    <t>Ravi Mehta</t>
  </si>
  <si>
    <t>Billing Support</t>
  </si>
  <si>
    <t>Arjun Patel</t>
  </si>
  <si>
    <t>Bhavna Joshi</t>
  </si>
  <si>
    <t>Chetan Kumar</t>
  </si>
  <si>
    <t>Disha Rao</t>
  </si>
  <si>
    <t>Eshan Desai</t>
  </si>
  <si>
    <t>Farah Khan</t>
  </si>
  <si>
    <t>Gaurav Sen</t>
  </si>
  <si>
    <t>Harshita Roy</t>
  </si>
  <si>
    <t>Ishaan Taneja</t>
  </si>
  <si>
    <t>Jaya Iyer</t>
  </si>
  <si>
    <t>Nisha Sharma</t>
  </si>
  <si>
    <t>Chat Support</t>
  </si>
  <si>
    <t>Kabir Gupta</t>
  </si>
  <si>
    <t>Lakshmi Nair</t>
  </si>
  <si>
    <t>Manav Shah</t>
  </si>
  <si>
    <t>Neha Soni</t>
  </si>
  <si>
    <t>Omkar Reddy</t>
  </si>
  <si>
    <t>Pooja Kaur</t>
  </si>
  <si>
    <t>Qasim Ali</t>
  </si>
  <si>
    <t>Riya Kapoor</t>
  </si>
  <si>
    <t>Sagar Yadav</t>
  </si>
  <si>
    <t>Tanya Verma</t>
  </si>
  <si>
    <t>Prakash Nair</t>
  </si>
  <si>
    <t>Email Escalations</t>
  </si>
  <si>
    <t>Uday Thakur</t>
  </si>
  <si>
    <t>Varsha Jain</t>
  </si>
  <si>
    <t>Waseem Khan</t>
  </si>
  <si>
    <t>Xenia Pinto</t>
  </si>
  <si>
    <t>Yogesh Bhatt</t>
  </si>
  <si>
    <t>Zara Shaikh</t>
  </si>
  <si>
    <t>Amaan Rizvi</t>
  </si>
  <si>
    <t>Brinda Shah</t>
  </si>
  <si>
    <t>Chirag Modi</t>
  </si>
  <si>
    <t>Devika Nair</t>
  </si>
  <si>
    <t>Shalini Rao</t>
  </si>
  <si>
    <t>Sales Inbound</t>
  </si>
  <si>
    <t>Edwin Thomas</t>
  </si>
  <si>
    <t>Fatima Noor</t>
  </si>
  <si>
    <t>Gitesh Singh</t>
  </si>
  <si>
    <t>Heena Patel</t>
  </si>
  <si>
    <t>Imran Shaikh</t>
  </si>
  <si>
    <t>Juhi Desai</t>
  </si>
  <si>
    <t>Karan Malhotra</t>
  </si>
  <si>
    <t>Lavina D’Costa</t>
  </si>
  <si>
    <t>Mohit Agarwal</t>
  </si>
  <si>
    <t>Nikita Rana</t>
  </si>
  <si>
    <t>Rakesh Sinha</t>
  </si>
  <si>
    <t>Retention</t>
  </si>
  <si>
    <t>Om Deshmukh</t>
  </si>
  <si>
    <t>Payal Trivedi</t>
  </si>
  <si>
    <t>Qurat Hussain</t>
  </si>
  <si>
    <t>Rahul Nair</t>
  </si>
  <si>
    <t>Sakshi Jain</t>
  </si>
  <si>
    <t>Tarun Goel</t>
  </si>
  <si>
    <t>Urvashi Menon</t>
  </si>
  <si>
    <t>Vinay Joshi</t>
  </si>
  <si>
    <t>Wasim Merchant</t>
  </si>
  <si>
    <t>Go to "RowData" sheet and enter surplus OT data under A and B columns (data from "Sample Data" sheet can be used to run a test)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</si>
</sst>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h]:mm"/>
  </numFmts>
  <fonts count="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749992370372631"/>
        <bgColor indexed="64"/>
      </patternFill>
    </fill>
    <fill>
      <patternFill patternType="solid">
        <fgColor rgb="FFA6C9EC"/>
        <bgColor indexed="64"/>
      </patternFill>
    </fill>
    <fill>
      <patternFill patternType="solid">
        <fgColor rgb="FFC1F0C8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2" borderId="0" xfId="0" applyFont="1" applyFill="1" applyAlignment="1">
      <alignment horizontal="center"/>
    </xf>
    <xf numFmtId="0" fontId="1" fillId="0" borderId="0" xfId="0" applyFont="1"/>
    <xf numFmtId="0" fontId="1" fillId="3" borderId="0" xfId="0" applyFont="1" applyFill="1"/>
    <xf numFmtId="0" fontId="1" fillId="3" borderId="0" xfId="0" applyFont="1" applyFill="1" applyAlignment="1">
      <alignment horizontal="center"/>
    </xf>
    <xf numFmtId="164" fontId="1" fillId="0" borderId="0" xfId="0" applyNumberFormat="1" applyFont="1"/>
    <xf numFmtId="0" fontId="0" fillId="0" borderId="0" xfId="0" applyAlignment="1">
      <alignment horizontal="center"/>
    </xf>
    <xf numFmtId="0" fontId="2" fillId="0" borderId="0" xfId="0" applyFont="1"/>
    <xf numFmtId="0" fontId="0" fillId="0" borderId="0" xfId="0" applyAlignment="1">
      <alignment horizontal="left" indent="1"/>
    </xf>
    <xf numFmtId="164" fontId="1" fillId="3" borderId="0" xfId="0" applyNumberFormat="1" applyFont="1" applyFill="1" applyAlignment="1">
      <alignment horizontal="center"/>
    </xf>
    <xf numFmtId="164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164" fontId="1" fillId="0" borderId="0" xfId="0" applyNumberFormat="1" applyFont="1" applyAlignment="1">
      <alignment horizontal="center"/>
    </xf>
    <xf numFmtId="0" fontId="1" fillId="4" borderId="0" xfId="0" applyFont="1" applyFill="1" applyAlignment="1">
      <alignment horizontal="center"/>
    </xf>
    <xf numFmtId="14" fontId="1" fillId="4" borderId="0" xfId="0" applyNumberFormat="1" applyFont="1" applyFill="1" applyAlignment="1">
      <alignment horizontal="center"/>
    </xf>
    <xf numFmtId="14" fontId="0" fillId="0" borderId="0" xfId="0" applyNumberForma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A6C9E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11</xdr:row>
      <xdr:rowOff>9525</xdr:rowOff>
    </xdr:from>
    <xdr:to>
      <xdr:col>5</xdr:col>
      <xdr:colOff>86693</xdr:colOff>
      <xdr:row>33</xdr:row>
      <xdr:rowOff>172058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CD1BDC54-62E5-8840-30E8-ADE1A011D5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009775"/>
          <a:ext cx="6935168" cy="435353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114299</xdr:colOff>
      <xdr:row>1</xdr:row>
      <xdr:rowOff>152400</xdr:rowOff>
    </xdr:from>
    <xdr:to>
      <xdr:col>7</xdr:col>
      <xdr:colOff>590549</xdr:colOff>
      <xdr:row>7</xdr:row>
      <xdr:rowOff>152400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332465A3-4282-7122-66FD-0B66DACA5B6F}"/>
            </a:ext>
          </a:extLst>
        </xdr:cNvPr>
        <xdr:cNvGrpSpPr/>
      </xdr:nvGrpSpPr>
      <xdr:grpSpPr>
        <a:xfrm>
          <a:off x="4762499" y="342900"/>
          <a:ext cx="1085850" cy="1143000"/>
          <a:chOff x="4629149" y="342900"/>
          <a:chExt cx="1085850" cy="1143000"/>
        </a:xfrm>
      </xdr:grpSpPr>
      <xdr:sp macro="[0]!prepare_btn_click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D1AA3491-06AC-59EE-499E-C365B0AD0339}"/>
              </a:ext>
            </a:extLst>
          </xdr:cNvPr>
          <xdr:cNvSpPr/>
        </xdr:nvSpPr>
        <xdr:spPr>
          <a:xfrm>
            <a:off x="4629149" y="342900"/>
            <a:ext cx="1076325" cy="314325"/>
          </a:xfrm>
          <a:prstGeom prst="roundRect">
            <a:avLst/>
          </a:prstGeom>
          <a:effectLst/>
        </xdr:spPr>
        <xdr:style>
          <a:lnRef idx="3">
            <a:schemeClr val="lt1"/>
          </a:lnRef>
          <a:fillRef idx="1">
            <a:schemeClr val="accent1"/>
          </a:fillRef>
          <a:effectRef idx="1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1100"/>
              <a:t>Prepare</a:t>
            </a:r>
          </a:p>
        </xdr:txBody>
      </xdr:sp>
      <xdr:sp macro="[0]!process_btn_click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4C486271-1946-A494-AEC9-93B126D4C82F}"/>
              </a:ext>
            </a:extLst>
          </xdr:cNvPr>
          <xdr:cNvSpPr/>
        </xdr:nvSpPr>
        <xdr:spPr>
          <a:xfrm>
            <a:off x="4629149" y="752475"/>
            <a:ext cx="1076325" cy="314325"/>
          </a:xfrm>
          <a:prstGeom prst="roundRect">
            <a:avLst/>
          </a:prstGeom>
        </xdr:spPr>
        <xdr:style>
          <a:lnRef idx="3">
            <a:schemeClr val="lt1"/>
          </a:lnRef>
          <a:fillRef idx="1">
            <a:schemeClr val="accent1"/>
          </a:fillRef>
          <a:effectRef idx="1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1100"/>
              <a:t>Process</a:t>
            </a:r>
          </a:p>
        </xdr:txBody>
      </xdr:sp>
      <xdr:sp macro="[0]!clear_btn_click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2BA0094B-B248-EB8F-E252-6AE246AD0E18}"/>
              </a:ext>
            </a:extLst>
          </xdr:cNvPr>
          <xdr:cNvSpPr/>
        </xdr:nvSpPr>
        <xdr:spPr>
          <a:xfrm>
            <a:off x="4638674" y="1171575"/>
            <a:ext cx="1076325" cy="314325"/>
          </a:xfrm>
          <a:prstGeom prst="roundRect">
            <a:avLst/>
          </a:prstGeom>
        </xdr:spPr>
        <xdr:style>
          <a:lnRef idx="3">
            <a:schemeClr val="lt1"/>
          </a:lnRef>
          <a:fillRef idx="1">
            <a:schemeClr val="accent1"/>
          </a:fillRef>
          <a:effectRef idx="1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1100"/>
              <a:t>Clear</a:t>
            </a:r>
          </a:p>
        </xdr:txBody>
      </xdr:sp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BEF14-42A6-4380-8EA5-10B40F79EFC1}">
  <sheetPr codeName="Sheet2"/>
  <dimension ref="A1:A11"/>
  <sheetViews>
    <sheetView workbookViewId="0">
      <selection activeCell="I8" sqref="I8"/>
    </sheetView>
  </sheetViews>
  <sheetFormatPr defaultRowHeight="15" x14ac:dyDescent="0.25"/>
  <cols>
    <col min="1" max="1" width="66.140625" bestFit="1" customWidth="1"/>
  </cols>
  <sheetData>
    <row r="1" spans="1:1" ht="18.75" x14ac:dyDescent="0.3">
      <c r="A1" s="7" t="s">
        <v>12</v>
      </c>
    </row>
    <row r="2" spans="1:1" x14ac:dyDescent="0.25">
      <c r="A2" s="8" t="s">
        <v>18</v>
      </c>
    </row>
    <row r="3" spans="1:1" x14ac:dyDescent="0.25">
      <c r="A3" s="8" t="s">
        <v>85</v>
      </c>
    </row>
    <row r="4" spans="1:1" x14ac:dyDescent="0.25">
      <c r="A4" s="8" t="s">
        <v>19</v>
      </c>
    </row>
    <row r="5" spans="1:1" x14ac:dyDescent="0.25">
      <c r="A5" s="8" t="s">
        <v>20</v>
      </c>
    </row>
    <row r="6" spans="1:1" x14ac:dyDescent="0.25">
      <c r="A6" s="8" t="s">
        <v>21</v>
      </c>
    </row>
    <row r="7" spans="1:1" x14ac:dyDescent="0.25">
      <c r="A7" s="8" t="s">
        <v>22</v>
      </c>
    </row>
    <row r="8" spans="1:1" x14ac:dyDescent="0.25">
      <c r="A8" s="8" t="s">
        <v>23</v>
      </c>
    </row>
    <row r="9" spans="1:1" x14ac:dyDescent="0.25">
      <c r="A9" s="8"/>
    </row>
    <row r="11" spans="1:1" ht="18.75" x14ac:dyDescent="0.3">
      <c r="A11" s="7" t="s">
        <v>17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008109-D5B3-4C90-83D1-5501684303A9}">
  <sheetPr codeName="Sheet1"/>
  <dimension ref="A1:M51"/>
  <sheetViews>
    <sheetView workbookViewId="0">
      <selection activeCell="K28" sqref="K28"/>
    </sheetView>
  </sheetViews>
  <sheetFormatPr defaultRowHeight="15" x14ac:dyDescent="0.25"/>
  <cols>
    <col min="1" max="1" width="7.42578125" style="6" bestFit="1" customWidth="1"/>
    <col min="2" max="2" width="16.140625" style="6" bestFit="1" customWidth="1"/>
    <col min="3" max="3" width="15.28515625" style="10" bestFit="1" customWidth="1"/>
    <col min="4" max="4" width="13.5703125" style="6" bestFit="1" customWidth="1"/>
    <col min="5" max="5" width="8.140625" style="6" bestFit="1" customWidth="1"/>
    <col min="6" max="9" width="9.140625" style="6"/>
    <col min="10" max="10" width="28" style="6" bestFit="1" customWidth="1"/>
    <col min="11" max="11" width="9.42578125" style="6" bestFit="1" customWidth="1"/>
    <col min="12" max="12" width="31.85546875" bestFit="1" customWidth="1"/>
    <col min="13" max="13" width="8" bestFit="1" customWidth="1"/>
  </cols>
  <sheetData>
    <row r="1" spans="1:13" x14ac:dyDescent="0.25">
      <c r="A1" s="4" t="s">
        <v>0</v>
      </c>
      <c r="B1" s="4" t="s">
        <v>13</v>
      </c>
      <c r="C1" s="9" t="s">
        <v>2</v>
      </c>
      <c r="D1" s="4" t="s">
        <v>14</v>
      </c>
      <c r="E1" s="4" t="s">
        <v>3</v>
      </c>
      <c r="J1" s="4" t="s">
        <v>4</v>
      </c>
      <c r="K1" s="11">
        <f>SUM(B:B)</f>
        <v>1362.3600000000001</v>
      </c>
      <c r="L1" s="3" t="s">
        <v>5</v>
      </c>
      <c r="M1" s="2">
        <f>SUM(Processed!C:C)</f>
        <v>1362.3600000000001</v>
      </c>
    </row>
    <row r="2" spans="1:13" x14ac:dyDescent="0.25">
      <c r="A2" s="6">
        <v>11001</v>
      </c>
      <c r="B2" s="6">
        <v>6</v>
      </c>
      <c r="C2" s="10">
        <f>B2/24</f>
        <v>0.25</v>
      </c>
      <c r="D2" s="6">
        <f>ROUNDUP(B2/4,0)</f>
        <v>2</v>
      </c>
      <c r="E2" s="6" t="str">
        <f>IF(COUNTIF(Processed!B:B,A2)&lt;D2,"Pending",IF(COUNTIF(Processed!B:B,A2)=D2,"Done",IF(COUNTIF(Processed!B:B,A2)&gt;D2,"Double Entries","Other")))</f>
        <v>Done</v>
      </c>
      <c r="J2" s="4" t="s">
        <v>6</v>
      </c>
      <c r="K2" s="12">
        <f>SUM(C:C)</f>
        <v>56.764999999999986</v>
      </c>
      <c r="L2" s="3" t="s">
        <v>7</v>
      </c>
      <c r="M2" s="5">
        <f>SUM(Processed!D:D)</f>
        <v>56.764999999999759</v>
      </c>
    </row>
    <row r="3" spans="1:13" x14ac:dyDescent="0.25">
      <c r="A3" s="6">
        <v>11002</v>
      </c>
      <c r="B3" s="6">
        <v>24.65</v>
      </c>
      <c r="C3" s="10">
        <f>B3/24</f>
        <v>1.0270833333333333</v>
      </c>
      <c r="D3" s="6">
        <f>ROUNDUP(B3/4,0)</f>
        <v>7</v>
      </c>
      <c r="E3" s="6" t="str">
        <f>IF(COUNTIF(Processed!B:B,A3)&lt;D3,"Pending",IF(COUNTIF(Processed!B:B,A3)=D3,"Done",IF(COUNTIF(Processed!B:B,A3)&gt;D3,"Double Entries","Other")))</f>
        <v>Done</v>
      </c>
    </row>
    <row r="4" spans="1:13" x14ac:dyDescent="0.25">
      <c r="A4" s="6">
        <v>11003</v>
      </c>
      <c r="B4" s="6">
        <v>36.25</v>
      </c>
      <c r="C4" s="10">
        <f>B4/24</f>
        <v>1.5104166666666667</v>
      </c>
      <c r="D4" s="6">
        <f>ROUNDUP(B4/4,0)</f>
        <v>10</v>
      </c>
      <c r="E4" s="6" t="str">
        <f>IF(COUNTIF(Processed!B:B,A4)&lt;D4,"Pending",IF(COUNTIF(Processed!B:B,A4)=D4,"Done",IF(COUNTIF(Processed!B:B,A4)&gt;D4,"Double Entries","Other")))</f>
        <v>Done</v>
      </c>
      <c r="J4" s="13" t="s">
        <v>15</v>
      </c>
      <c r="K4" s="14">
        <v>45778</v>
      </c>
      <c r="L4" t="str">
        <f>TEXT(K4,"ddd")</f>
        <v>Thu</v>
      </c>
    </row>
    <row r="5" spans="1:13" x14ac:dyDescent="0.25">
      <c r="A5" s="6">
        <v>11004</v>
      </c>
      <c r="B5" s="6">
        <v>2.36</v>
      </c>
      <c r="C5" s="10">
        <f>B5/24</f>
        <v>9.8333333333333328E-2</v>
      </c>
      <c r="D5" s="6">
        <f>ROUNDUP(B5/4,0)</f>
        <v>1</v>
      </c>
      <c r="E5" s="6" t="str">
        <f>IF(COUNTIF(Processed!B:B,A5)&lt;D5,"Pending",IF(COUNTIF(Processed!B:B,A5)=D5,"Done",IF(COUNTIF(Processed!B:B,A5)&gt;D5,"Double Entries","Other")))</f>
        <v>Done</v>
      </c>
      <c r="J5" s="6" t="s">
        <v>16</v>
      </c>
      <c r="K5" s="15">
        <f>IF(L4="Fri",(K4+ 3),(K4+ 1))</f>
        <v>45779</v>
      </c>
      <c r="L5" t="str">
        <f>TEXT(K5,"ddd")</f>
        <v>Fri</v>
      </c>
    </row>
    <row r="6" spans="1:13" x14ac:dyDescent="0.25">
      <c r="A6" s="6">
        <v>11005</v>
      </c>
      <c r="B6" s="6">
        <v>65</v>
      </c>
      <c r="C6" s="10">
        <f>B6/24</f>
        <v>2.7083333333333335</v>
      </c>
      <c r="D6" s="6">
        <f>ROUNDUP(B6/4,0)</f>
        <v>17</v>
      </c>
      <c r="E6" s="6" t="str">
        <f>IF(COUNTIF(Processed!B:B,A6)&lt;D6,"Pending",IF(COUNTIF(Processed!B:B,A6)=D6,"Done",IF(COUNTIF(Processed!B:B,A6)&gt;D6,"Double Entries","Other")))</f>
        <v>Done</v>
      </c>
      <c r="K6" s="15">
        <f>IF(L5="Fri",(K5+ 3),(K5+ 1))</f>
        <v>45782</v>
      </c>
      <c r="L6" t="str">
        <f>TEXT(K6,"ddd")</f>
        <v>Mon</v>
      </c>
    </row>
    <row r="7" spans="1:13" x14ac:dyDescent="0.25">
      <c r="A7" s="6">
        <v>11006</v>
      </c>
      <c r="B7" s="6">
        <v>27</v>
      </c>
      <c r="C7" s="10">
        <f>B7/24</f>
        <v>1.125</v>
      </c>
      <c r="D7" s="6">
        <f>ROUNDUP(B7/4,0)</f>
        <v>7</v>
      </c>
      <c r="E7" s="6" t="str">
        <f>IF(COUNTIF(Processed!B:B,A7)&lt;D7,"Pending",IF(COUNTIF(Processed!B:B,A7)=D7,"Done",IF(COUNTIF(Processed!B:B,A7)&gt;D7,"Double Entries","Other")))</f>
        <v>Done</v>
      </c>
      <c r="K7" s="15">
        <f>IF(L6="Fri",(K6+ 3),(K6+ 1))</f>
        <v>45783</v>
      </c>
      <c r="L7" t="str">
        <f>TEXT(K7,"ddd")</f>
        <v>Tue</v>
      </c>
    </row>
    <row r="8" spans="1:13" x14ac:dyDescent="0.25">
      <c r="A8" s="6">
        <v>11007</v>
      </c>
      <c r="B8" s="6">
        <v>24.5</v>
      </c>
      <c r="C8" s="10">
        <f>B8/24</f>
        <v>1.0208333333333333</v>
      </c>
      <c r="D8" s="6">
        <f>ROUNDUP(B8/4,0)</f>
        <v>7</v>
      </c>
      <c r="E8" s="6" t="str">
        <f>IF(COUNTIF(Processed!B:B,A8)&lt;D8,"Pending",IF(COUNTIF(Processed!B:B,A8)=D8,"Done",IF(COUNTIF(Processed!B:B,A8)&gt;D8,"Double Entries","Other")))</f>
        <v>Done</v>
      </c>
      <c r="K8" s="15">
        <f>IF(L7="Fri",(K7+ 3),(K7+ 1))</f>
        <v>45784</v>
      </c>
      <c r="L8" t="str">
        <f>TEXT(K8,"ddd")</f>
        <v>Wed</v>
      </c>
    </row>
    <row r="9" spans="1:13" x14ac:dyDescent="0.25">
      <c r="A9" s="6">
        <v>11008</v>
      </c>
      <c r="B9" s="6">
        <v>18.3</v>
      </c>
      <c r="C9" s="10">
        <f>B9/24</f>
        <v>0.76250000000000007</v>
      </c>
      <c r="D9" s="6">
        <f>ROUNDUP(B9/4,0)</f>
        <v>5</v>
      </c>
      <c r="E9" s="6" t="str">
        <f>IF(COUNTIF(Processed!B:B,A9)&lt;D9,"Pending",IF(COUNTIF(Processed!B:B,A9)=D9,"Done",IF(COUNTIF(Processed!B:B,A9)&gt;D9,"Double Entries","Other")))</f>
        <v>Done</v>
      </c>
      <c r="K9" s="15">
        <f>IF(L8="Fri",(K8+ 3),(K8+ 1))</f>
        <v>45785</v>
      </c>
      <c r="L9" t="str">
        <f>TEXT(K9,"ddd")</f>
        <v>Thu</v>
      </c>
    </row>
    <row r="10" spans="1:13" x14ac:dyDescent="0.25">
      <c r="A10" s="6">
        <v>11009</v>
      </c>
      <c r="B10" s="6">
        <v>20</v>
      </c>
      <c r="C10" s="10">
        <f>B10/24</f>
        <v>0.83333333333333337</v>
      </c>
      <c r="D10" s="6">
        <f>ROUNDUP(B10/4,0)</f>
        <v>5</v>
      </c>
      <c r="E10" s="6" t="str">
        <f>IF(COUNTIF(Processed!B:B,A10)&lt;D10,"Pending",IF(COUNTIF(Processed!B:B,A10)=D10,"Done",IF(COUNTIF(Processed!B:B,A10)&gt;D10,"Double Entries","Other")))</f>
        <v>Done</v>
      </c>
      <c r="K10" s="15">
        <f>IF(L9="Fri",(K9+ 3),(K9+ 1))</f>
        <v>45786</v>
      </c>
      <c r="L10" t="str">
        <f>TEXT(K10,"ddd")</f>
        <v>Fri</v>
      </c>
    </row>
    <row r="11" spans="1:13" x14ac:dyDescent="0.25">
      <c r="A11" s="6">
        <v>11010</v>
      </c>
      <c r="B11" s="6">
        <v>25.3</v>
      </c>
      <c r="C11" s="10">
        <f>B11/24</f>
        <v>1.0541666666666667</v>
      </c>
      <c r="D11" s="6">
        <f>ROUNDUP(B11/4,0)</f>
        <v>7</v>
      </c>
      <c r="E11" s="6" t="str">
        <f>IF(COUNTIF(Processed!B:B,A11)&lt;D11,"Pending",IF(COUNTIF(Processed!B:B,A11)=D11,"Done",IF(COUNTIF(Processed!B:B,A11)&gt;D11,"Double Entries","Other")))</f>
        <v>Done</v>
      </c>
      <c r="K11" s="15">
        <f>IF(L10="Fri",(K10+ 3),(K10+ 1))</f>
        <v>45789</v>
      </c>
      <c r="L11" t="str">
        <f>TEXT(K11,"ddd")</f>
        <v>Mon</v>
      </c>
    </row>
    <row r="12" spans="1:13" x14ac:dyDescent="0.25">
      <c r="A12" s="6">
        <v>11011</v>
      </c>
      <c r="B12" s="6">
        <v>31</v>
      </c>
      <c r="C12" s="10">
        <f>B12/24</f>
        <v>1.2916666666666667</v>
      </c>
      <c r="D12" s="6">
        <f>ROUNDUP(B12/4,0)</f>
        <v>8</v>
      </c>
      <c r="E12" s="6" t="str">
        <f>IF(COUNTIF(Processed!B:B,A12)&lt;D12,"Pending",IF(COUNTIF(Processed!B:B,A12)=D12,"Done",IF(COUNTIF(Processed!B:B,A12)&gt;D12,"Double Entries","Other")))</f>
        <v>Done</v>
      </c>
      <c r="K12" s="15">
        <f>IF(L11="Fri",(K11+ 3),(K11+ 1))</f>
        <v>45790</v>
      </c>
      <c r="L12" t="str">
        <f>TEXT(K12,"ddd")</f>
        <v>Tue</v>
      </c>
    </row>
    <row r="13" spans="1:13" x14ac:dyDescent="0.25">
      <c r="A13" s="6">
        <v>11012</v>
      </c>
      <c r="B13" s="6">
        <v>38</v>
      </c>
      <c r="C13" s="10">
        <f>B13/24</f>
        <v>1.5833333333333333</v>
      </c>
      <c r="D13" s="6">
        <f>ROUNDUP(B13/4,0)</f>
        <v>10</v>
      </c>
      <c r="E13" s="6" t="str">
        <f>IF(COUNTIF(Processed!B:B,A13)&lt;D13,"Pending",IF(COUNTIF(Processed!B:B,A13)=D13,"Done",IF(COUNTIF(Processed!B:B,A13)&gt;D13,"Double Entries","Other")))</f>
        <v>Done</v>
      </c>
      <c r="K13" s="15">
        <f>IF(L12="Fri",(K12+ 3),(K12+ 1))</f>
        <v>45791</v>
      </c>
      <c r="L13" t="str">
        <f>TEXT(K13,"ddd")</f>
        <v>Wed</v>
      </c>
    </row>
    <row r="14" spans="1:13" x14ac:dyDescent="0.25">
      <c r="A14" s="6">
        <v>11013</v>
      </c>
      <c r="B14" s="6">
        <v>28</v>
      </c>
      <c r="C14" s="10">
        <f>B14/24</f>
        <v>1.1666666666666667</v>
      </c>
      <c r="D14" s="6">
        <f>ROUNDUP(B14/4,0)</f>
        <v>7</v>
      </c>
      <c r="E14" s="6" t="str">
        <f>IF(COUNTIF(Processed!B:B,A14)&lt;D14,"Pending",IF(COUNTIF(Processed!B:B,A14)=D14,"Done",IF(COUNTIF(Processed!B:B,A14)&gt;D14,"Double Entries","Other")))</f>
        <v>Done</v>
      </c>
      <c r="K14" s="15">
        <f>IF(L13="Fri",(K13+ 3),(K13+ 1))</f>
        <v>45792</v>
      </c>
      <c r="L14" t="str">
        <f>TEXT(K14,"ddd")</f>
        <v>Thu</v>
      </c>
    </row>
    <row r="15" spans="1:13" x14ac:dyDescent="0.25">
      <c r="A15" s="6">
        <v>11014</v>
      </c>
      <c r="B15" s="6">
        <v>19</v>
      </c>
      <c r="C15" s="10">
        <f>B15/24</f>
        <v>0.79166666666666663</v>
      </c>
      <c r="D15" s="6">
        <f>ROUNDUP(B15/4,0)</f>
        <v>5</v>
      </c>
      <c r="E15" s="6" t="str">
        <f>IF(COUNTIF(Processed!B:B,A15)&lt;D15,"Pending",IF(COUNTIF(Processed!B:B,A15)=D15,"Done",IF(COUNTIF(Processed!B:B,A15)&gt;D15,"Double Entries","Other")))</f>
        <v>Done</v>
      </c>
      <c r="K15" s="15">
        <f>IF(L14="Fri",(K14+ 3),(K14+ 1))</f>
        <v>45793</v>
      </c>
      <c r="L15" t="str">
        <f>TEXT(K15,"ddd")</f>
        <v>Fri</v>
      </c>
    </row>
    <row r="16" spans="1:13" x14ac:dyDescent="0.25">
      <c r="A16" s="6">
        <v>11015</v>
      </c>
      <c r="B16" s="6">
        <v>30</v>
      </c>
      <c r="C16" s="10">
        <f>B16/24</f>
        <v>1.25</v>
      </c>
      <c r="D16" s="6">
        <f>ROUNDUP(B16/4,0)</f>
        <v>8</v>
      </c>
      <c r="E16" s="6" t="str">
        <f>IF(COUNTIF(Processed!B:B,A16)&lt;D16,"Pending",IF(COUNTIF(Processed!B:B,A16)=D16,"Done",IF(COUNTIF(Processed!B:B,A16)&gt;D16,"Double Entries","Other")))</f>
        <v>Done</v>
      </c>
      <c r="K16" s="15">
        <f>IF(L15="Fri",(K15+ 3),(K15+ 1))</f>
        <v>45796</v>
      </c>
      <c r="L16" t="str">
        <f>TEXT(K16,"ddd")</f>
        <v>Mon</v>
      </c>
    </row>
    <row r="17" spans="1:12" x14ac:dyDescent="0.25">
      <c r="A17" s="6">
        <v>11016</v>
      </c>
      <c r="B17" s="6">
        <v>22</v>
      </c>
      <c r="C17" s="10">
        <f>B17/24</f>
        <v>0.91666666666666663</v>
      </c>
      <c r="D17" s="6">
        <f>ROUNDUP(B17/4,0)</f>
        <v>6</v>
      </c>
      <c r="E17" s="6" t="str">
        <f>IF(COUNTIF(Processed!B:B,A17)&lt;D17,"Pending",IF(COUNTIF(Processed!B:B,A17)=D17,"Done",IF(COUNTIF(Processed!B:B,A17)&gt;D17,"Double Entries","Other")))</f>
        <v>Done</v>
      </c>
      <c r="K17" s="15">
        <f>IF(L16="Fri",(K16+ 3),(K16+ 1))</f>
        <v>45797</v>
      </c>
      <c r="L17" t="str">
        <f>TEXT(K17,"ddd")</f>
        <v>Tue</v>
      </c>
    </row>
    <row r="18" spans="1:12" x14ac:dyDescent="0.25">
      <c r="A18" s="6">
        <v>11017</v>
      </c>
      <c r="B18" s="6">
        <v>38</v>
      </c>
      <c r="C18" s="10">
        <f>B18/24</f>
        <v>1.5833333333333333</v>
      </c>
      <c r="D18" s="6">
        <f>ROUNDUP(B18/4,0)</f>
        <v>10</v>
      </c>
      <c r="E18" s="6" t="str">
        <f>IF(COUNTIF(Processed!B:B,A18)&lt;D18,"Pending",IF(COUNTIF(Processed!B:B,A18)=D18,"Done",IF(COUNTIF(Processed!B:B,A18)&gt;D18,"Double Entries","Other")))</f>
        <v>Done</v>
      </c>
      <c r="K18" s="15">
        <f>IF(L17="Fri",(K17+ 3),(K17+ 1))</f>
        <v>45798</v>
      </c>
      <c r="L18" t="str">
        <f>TEXT(K18,"ddd")</f>
        <v>Wed</v>
      </c>
    </row>
    <row r="19" spans="1:12" x14ac:dyDescent="0.25">
      <c r="A19" s="6">
        <v>11018</v>
      </c>
      <c r="B19" s="6">
        <v>11</v>
      </c>
      <c r="C19" s="10">
        <f>B19/24</f>
        <v>0.45833333333333331</v>
      </c>
      <c r="D19" s="6">
        <f>ROUNDUP(B19/4,0)</f>
        <v>3</v>
      </c>
      <c r="E19" s="6" t="str">
        <f>IF(COUNTIF(Processed!B:B,A19)&lt;D19,"Pending",IF(COUNTIF(Processed!B:B,A19)=D19,"Done",IF(COUNTIF(Processed!B:B,A19)&gt;D19,"Double Entries","Other")))</f>
        <v>Done</v>
      </c>
      <c r="K19" s="15">
        <f>IF(L18="Fri",(K18+ 3),(K18+ 1))</f>
        <v>45799</v>
      </c>
      <c r="L19" t="str">
        <f>TEXT(K19,"ddd")</f>
        <v>Thu</v>
      </c>
    </row>
    <row r="20" spans="1:12" x14ac:dyDescent="0.25">
      <c r="A20" s="6">
        <v>11019</v>
      </c>
      <c r="B20" s="6">
        <v>29</v>
      </c>
      <c r="C20" s="10">
        <f>B20/24</f>
        <v>1.2083333333333333</v>
      </c>
      <c r="D20" s="6">
        <f>ROUNDUP(B20/4,0)</f>
        <v>8</v>
      </c>
      <c r="E20" s="6" t="str">
        <f>IF(COUNTIF(Processed!B:B,A20)&lt;D20,"Pending",IF(COUNTIF(Processed!B:B,A20)=D20,"Done",IF(COUNTIF(Processed!B:B,A20)&gt;D20,"Double Entries","Other")))</f>
        <v>Done</v>
      </c>
      <c r="K20" s="15">
        <f>IF(L19="Fri",(K19+ 3),(K19+ 1))</f>
        <v>45800</v>
      </c>
      <c r="L20" t="str">
        <f>TEXT(K20,"ddd")</f>
        <v>Fri</v>
      </c>
    </row>
    <row r="21" spans="1:12" x14ac:dyDescent="0.25">
      <c r="A21" s="6">
        <v>11020</v>
      </c>
      <c r="B21" s="6">
        <v>41</v>
      </c>
      <c r="C21" s="10">
        <f>B21/24</f>
        <v>1.7083333333333333</v>
      </c>
      <c r="D21" s="6">
        <f>ROUNDUP(B21/4,0)</f>
        <v>11</v>
      </c>
      <c r="E21" s="6" t="str">
        <f>IF(COUNTIF(Processed!B:B,A21)&lt;D21,"Pending",IF(COUNTIF(Processed!B:B,A21)=D21,"Done",IF(COUNTIF(Processed!B:B,A21)&gt;D21,"Double Entries","Other")))</f>
        <v>Done</v>
      </c>
      <c r="K21" s="15">
        <f>IF(L20="Fri",(K20+ 3),(K20+ 1))</f>
        <v>45803</v>
      </c>
      <c r="L21" t="str">
        <f>TEXT(K21,"ddd")</f>
        <v>Mon</v>
      </c>
    </row>
    <row r="22" spans="1:12" x14ac:dyDescent="0.25">
      <c r="A22" s="6">
        <v>11021</v>
      </c>
      <c r="B22" s="6">
        <v>17</v>
      </c>
      <c r="C22" s="10">
        <f>B22/24</f>
        <v>0.70833333333333337</v>
      </c>
      <c r="D22" s="6">
        <f>ROUNDUP(B22/4,0)</f>
        <v>5</v>
      </c>
      <c r="E22" s="6" t="str">
        <f>IF(COUNTIF(Processed!B:B,A22)&lt;D22,"Pending",IF(COUNTIF(Processed!B:B,A22)=D22,"Done",IF(COUNTIF(Processed!B:B,A22)&gt;D22,"Double Entries","Other")))</f>
        <v>Done</v>
      </c>
      <c r="K22" s="15">
        <f>IF(L21="Fri",(K21+ 3),(K21+ 1))</f>
        <v>45804</v>
      </c>
      <c r="L22" t="str">
        <f>TEXT(K22,"ddd")</f>
        <v>Tue</v>
      </c>
    </row>
    <row r="23" spans="1:12" x14ac:dyDescent="0.25">
      <c r="A23" s="6">
        <v>11022</v>
      </c>
      <c r="B23" s="6">
        <v>35</v>
      </c>
      <c r="C23" s="10">
        <f>B23/24</f>
        <v>1.4583333333333333</v>
      </c>
      <c r="D23" s="6">
        <f>ROUNDUP(B23/4,0)</f>
        <v>9</v>
      </c>
      <c r="E23" s="6" t="str">
        <f>IF(COUNTIF(Processed!B:B,A23)&lt;D23,"Pending",IF(COUNTIF(Processed!B:B,A23)=D23,"Done",IF(COUNTIF(Processed!B:B,A23)&gt;D23,"Double Entries","Other")))</f>
        <v>Done</v>
      </c>
      <c r="K23" s="15">
        <f>IF(L22="Fri",(K22+ 3),(K22+ 1))</f>
        <v>45805</v>
      </c>
      <c r="L23" t="str">
        <f>TEXT(K23,"ddd")</f>
        <v>Wed</v>
      </c>
    </row>
    <row r="24" spans="1:12" x14ac:dyDescent="0.25">
      <c r="A24" s="6">
        <v>11023</v>
      </c>
      <c r="B24" s="6">
        <v>12</v>
      </c>
      <c r="C24" s="10">
        <f>B24/24</f>
        <v>0.5</v>
      </c>
      <c r="D24" s="6">
        <f>ROUNDUP(B24/4,0)</f>
        <v>3</v>
      </c>
      <c r="E24" s="6" t="str">
        <f>IF(COUNTIF(Processed!B:B,A24)&lt;D24,"Pending",IF(COUNTIF(Processed!B:B,A24)=D24,"Done",IF(COUNTIF(Processed!B:B,A24)&gt;D24,"Double Entries","Other")))</f>
        <v>Done</v>
      </c>
      <c r="K24" s="15">
        <f>IF(L23="Fri",(K23+ 3),(K23+ 1))</f>
        <v>45806</v>
      </c>
      <c r="L24" t="str">
        <f>TEXT(K24,"ddd")</f>
        <v>Thu</v>
      </c>
    </row>
    <row r="25" spans="1:12" x14ac:dyDescent="0.25">
      <c r="A25" s="6">
        <v>11024</v>
      </c>
      <c r="B25" s="6">
        <v>43</v>
      </c>
      <c r="C25" s="10">
        <f>B25/24</f>
        <v>1.7916666666666667</v>
      </c>
      <c r="D25" s="6">
        <f>ROUNDUP(B25/4,0)</f>
        <v>11</v>
      </c>
      <c r="E25" s="6" t="str">
        <f>IF(COUNTIF(Processed!B:B,A25)&lt;D25,"Pending",IF(COUNTIF(Processed!B:B,A25)=D25,"Done",IF(COUNTIF(Processed!B:B,A25)&gt;D25,"Double Entries","Other")))</f>
        <v>Done</v>
      </c>
      <c r="K25" s="15">
        <f>IF(L24="Fri",(K24+ 3),(K24+ 1))</f>
        <v>45807</v>
      </c>
      <c r="L25" t="str">
        <f>TEXT(K25,"ddd")</f>
        <v>Fri</v>
      </c>
    </row>
    <row r="26" spans="1:12" x14ac:dyDescent="0.25">
      <c r="A26" s="6">
        <v>11025</v>
      </c>
      <c r="B26" s="6">
        <v>27</v>
      </c>
      <c r="C26" s="10">
        <f>B26/24</f>
        <v>1.125</v>
      </c>
      <c r="D26" s="6">
        <f>ROUNDUP(B26/4,0)</f>
        <v>7</v>
      </c>
      <c r="E26" s="6" t="str">
        <f>IF(COUNTIF(Processed!B:B,A26)&lt;D26,"Pending",IF(COUNTIF(Processed!B:B,A26)=D26,"Done",IF(COUNTIF(Processed!B:B,A26)&gt;D26,"Double Entries","Other")))</f>
        <v>Done</v>
      </c>
      <c r="K26" s="15">
        <f>IF(L25="Fri",(K25+ 3),(K25+ 1))</f>
        <v>45810</v>
      </c>
      <c r="L26" t="str">
        <f>TEXT(K26,"ddd")</f>
        <v>Mon</v>
      </c>
    </row>
    <row r="27" spans="1:12" x14ac:dyDescent="0.25">
      <c r="A27" s="6">
        <v>11026</v>
      </c>
      <c r="B27" s="6">
        <v>33</v>
      </c>
      <c r="C27" s="10">
        <f>B27/24</f>
        <v>1.375</v>
      </c>
      <c r="D27" s="6">
        <f>ROUNDUP(B27/4,0)</f>
        <v>9</v>
      </c>
      <c r="E27" s="6" t="str">
        <f>IF(COUNTIF(Processed!B:B,A27)&lt;D27,"Pending",IF(COUNTIF(Processed!B:B,A27)=D27,"Done",IF(COUNTIF(Processed!B:B,A27)&gt;D27,"Double Entries","Other")))</f>
        <v>Done</v>
      </c>
      <c r="K27" s="15">
        <f>IF(L26="Fri",(K26+ 3),(K26+ 1))</f>
        <v>45811</v>
      </c>
      <c r="L27" t="str">
        <f>TEXT(K27,"ddd")</f>
        <v>Tue</v>
      </c>
    </row>
    <row r="28" spans="1:12" x14ac:dyDescent="0.25">
      <c r="A28" s="6">
        <v>11027</v>
      </c>
      <c r="B28" s="6">
        <v>19</v>
      </c>
      <c r="C28" s="10">
        <f>B28/24</f>
        <v>0.79166666666666663</v>
      </c>
      <c r="D28" s="6">
        <f>ROUNDUP(B28/4,0)</f>
        <v>5</v>
      </c>
      <c r="E28" s="6" t="str">
        <f>IF(COUNTIF(Processed!B:B,A28)&lt;D28,"Pending",IF(COUNTIF(Processed!B:B,A28)=D28,"Done",IF(COUNTIF(Processed!B:B,A28)&gt;D28,"Double Entries","Other")))</f>
        <v>Done</v>
      </c>
      <c r="K28" s="15">
        <f>IF(L27="Fri",(K27+ 3),(K27+ 1))</f>
        <v>45812</v>
      </c>
      <c r="L28" t="str">
        <f>TEXT(K28,"ddd")</f>
        <v>Wed</v>
      </c>
    </row>
    <row r="29" spans="1:12" x14ac:dyDescent="0.25">
      <c r="A29" s="6">
        <v>11028</v>
      </c>
      <c r="B29" s="6">
        <v>45</v>
      </c>
      <c r="C29" s="10">
        <f>B29/24</f>
        <v>1.875</v>
      </c>
      <c r="D29" s="6">
        <f>ROUNDUP(B29/4,0)</f>
        <v>12</v>
      </c>
      <c r="E29" s="6" t="str">
        <f>IF(COUNTIF(Processed!B:B,A29)&lt;D29,"Pending",IF(COUNTIF(Processed!B:B,A29)=D29,"Done",IF(COUNTIF(Processed!B:B,A29)&gt;D29,"Double Entries","Other")))</f>
        <v>Done</v>
      </c>
    </row>
    <row r="30" spans="1:12" x14ac:dyDescent="0.25">
      <c r="A30" s="6">
        <v>11029</v>
      </c>
      <c r="B30" s="6">
        <v>13</v>
      </c>
      <c r="C30" s="10">
        <f>B30/24</f>
        <v>0.54166666666666663</v>
      </c>
      <c r="D30" s="6">
        <f>ROUNDUP(B30/4,0)</f>
        <v>4</v>
      </c>
      <c r="E30" s="6" t="str">
        <f>IF(COUNTIF(Processed!B:B,A30)&lt;D30,"Pending",IF(COUNTIF(Processed!B:B,A30)=D30,"Done",IF(COUNTIF(Processed!B:B,A30)&gt;D30,"Double Entries","Other")))</f>
        <v>Done</v>
      </c>
    </row>
    <row r="31" spans="1:12" x14ac:dyDescent="0.25">
      <c r="A31" s="6">
        <v>11030</v>
      </c>
      <c r="B31" s="6">
        <v>26</v>
      </c>
      <c r="C31" s="10">
        <f>B31/24</f>
        <v>1.0833333333333333</v>
      </c>
      <c r="D31" s="6">
        <f>ROUNDUP(B31/4,0)</f>
        <v>7</v>
      </c>
      <c r="E31" s="6" t="str">
        <f>IF(COUNTIF(Processed!B:B,A31)&lt;D31,"Pending",IF(COUNTIF(Processed!B:B,A31)=D31,"Done",IF(COUNTIF(Processed!B:B,A31)&gt;D31,"Double Entries","Other")))</f>
        <v>Done</v>
      </c>
    </row>
    <row r="32" spans="1:12" x14ac:dyDescent="0.25">
      <c r="A32" s="6">
        <v>11031</v>
      </c>
      <c r="B32" s="6">
        <v>39</v>
      </c>
      <c r="C32" s="10">
        <f>B32/24</f>
        <v>1.625</v>
      </c>
      <c r="D32" s="6">
        <f>ROUNDUP(B32/4,0)</f>
        <v>10</v>
      </c>
      <c r="E32" s="6" t="str">
        <f>IF(COUNTIF(Processed!B:B,A32)&lt;D32,"Pending",IF(COUNTIF(Processed!B:B,A32)=D32,"Done",IF(COUNTIF(Processed!B:B,A32)&gt;D32,"Double Entries","Other")))</f>
        <v>Done</v>
      </c>
    </row>
    <row r="33" spans="1:5" x14ac:dyDescent="0.25">
      <c r="A33" s="6">
        <v>11032</v>
      </c>
      <c r="B33" s="6">
        <v>14</v>
      </c>
      <c r="C33" s="10">
        <f>B33/24</f>
        <v>0.58333333333333337</v>
      </c>
      <c r="D33" s="6">
        <f>ROUNDUP(B33/4,0)</f>
        <v>4</v>
      </c>
      <c r="E33" s="6" t="str">
        <f>IF(COUNTIF(Processed!B:B,A33)&lt;D33,"Pending",IF(COUNTIF(Processed!B:B,A33)=D33,"Done",IF(COUNTIF(Processed!B:B,A33)&gt;D33,"Double Entries","Other")))</f>
        <v>Done</v>
      </c>
    </row>
    <row r="34" spans="1:5" x14ac:dyDescent="0.25">
      <c r="A34" s="6">
        <v>11033</v>
      </c>
      <c r="B34" s="6">
        <v>30</v>
      </c>
      <c r="C34" s="10">
        <f>B34/24</f>
        <v>1.25</v>
      </c>
      <c r="D34" s="6">
        <f>ROUNDUP(B34/4,0)</f>
        <v>8</v>
      </c>
      <c r="E34" s="6" t="str">
        <f>IF(COUNTIF(Processed!B:B,A34)&lt;D34,"Pending",IF(COUNTIF(Processed!B:B,A34)=D34,"Done",IF(COUNTIF(Processed!B:B,A34)&gt;D34,"Double Entries","Other")))</f>
        <v>Done</v>
      </c>
    </row>
    <row r="35" spans="1:5" x14ac:dyDescent="0.25">
      <c r="A35" s="6">
        <v>11034</v>
      </c>
      <c r="B35" s="6">
        <v>24</v>
      </c>
      <c r="C35" s="10">
        <f>B35/24</f>
        <v>1</v>
      </c>
      <c r="D35" s="6">
        <f>ROUNDUP(B35/4,0)</f>
        <v>6</v>
      </c>
      <c r="E35" s="6" t="str">
        <f>IF(COUNTIF(Processed!B:B,A35)&lt;D35,"Pending",IF(COUNTIF(Processed!B:B,A35)=D35,"Done",IF(COUNTIF(Processed!B:B,A35)&gt;D35,"Double Entries","Other")))</f>
        <v>Done</v>
      </c>
    </row>
    <row r="36" spans="1:5" x14ac:dyDescent="0.25">
      <c r="A36" s="6">
        <v>11035</v>
      </c>
      <c r="B36" s="6">
        <v>21</v>
      </c>
      <c r="C36" s="10">
        <f>B36/24</f>
        <v>0.875</v>
      </c>
      <c r="D36" s="6">
        <f>ROUNDUP(B36/4,0)</f>
        <v>6</v>
      </c>
      <c r="E36" s="6" t="str">
        <f>IF(COUNTIF(Processed!B:B,A36)&lt;D36,"Pending",IF(COUNTIF(Processed!B:B,A36)=D36,"Done",IF(COUNTIF(Processed!B:B,A36)&gt;D36,"Double Entries","Other")))</f>
        <v>Done</v>
      </c>
    </row>
    <row r="37" spans="1:5" x14ac:dyDescent="0.25">
      <c r="A37" s="6">
        <v>11036</v>
      </c>
      <c r="B37" s="6">
        <v>40</v>
      </c>
      <c r="C37" s="10">
        <f>B37/24</f>
        <v>1.6666666666666667</v>
      </c>
      <c r="D37" s="6">
        <f>ROUNDUP(B37/4,0)</f>
        <v>10</v>
      </c>
      <c r="E37" s="6" t="str">
        <f>IF(COUNTIF(Processed!B:B,A37)&lt;D37,"Pending",IF(COUNTIF(Processed!B:B,A37)=D37,"Done",IF(COUNTIF(Processed!B:B,A37)&gt;D37,"Double Entries","Other")))</f>
        <v>Done</v>
      </c>
    </row>
    <row r="38" spans="1:5" x14ac:dyDescent="0.25">
      <c r="A38" s="6">
        <v>11037</v>
      </c>
      <c r="B38" s="6">
        <v>31</v>
      </c>
      <c r="C38" s="10">
        <f>B38/24</f>
        <v>1.2916666666666667</v>
      </c>
      <c r="D38" s="6">
        <f>ROUNDUP(B38/4,0)</f>
        <v>8</v>
      </c>
      <c r="E38" s="6" t="str">
        <f>IF(COUNTIF(Processed!B:B,A38)&lt;D38,"Pending",IF(COUNTIF(Processed!B:B,A38)=D38,"Done",IF(COUNTIF(Processed!B:B,A38)&gt;D38,"Double Entries","Other")))</f>
        <v>Done</v>
      </c>
    </row>
    <row r="39" spans="1:5" x14ac:dyDescent="0.25">
      <c r="A39" s="6">
        <v>11038</v>
      </c>
      <c r="B39" s="6">
        <v>16</v>
      </c>
      <c r="C39" s="10">
        <f>B39/24</f>
        <v>0.66666666666666663</v>
      </c>
      <c r="D39" s="6">
        <f>ROUNDUP(B39/4,0)</f>
        <v>4</v>
      </c>
      <c r="E39" s="6" t="str">
        <f>IF(COUNTIF(Processed!B:B,A39)&lt;D39,"Pending",IF(COUNTIF(Processed!B:B,A39)=D39,"Done",IF(COUNTIF(Processed!B:B,A39)&gt;D39,"Double Entries","Other")))</f>
        <v>Done</v>
      </c>
    </row>
    <row r="40" spans="1:5" x14ac:dyDescent="0.25">
      <c r="A40" s="6">
        <v>11039</v>
      </c>
      <c r="B40" s="6">
        <v>42</v>
      </c>
      <c r="C40" s="10">
        <f>B40/24</f>
        <v>1.75</v>
      </c>
      <c r="D40" s="6">
        <f>ROUNDUP(B40/4,0)</f>
        <v>11</v>
      </c>
      <c r="E40" s="6" t="str">
        <f>IF(COUNTIF(Processed!B:B,A40)&lt;D40,"Pending",IF(COUNTIF(Processed!B:B,A40)=D40,"Done",IF(COUNTIF(Processed!B:B,A40)&gt;D40,"Double Entries","Other")))</f>
        <v>Done</v>
      </c>
    </row>
    <row r="41" spans="1:5" x14ac:dyDescent="0.25">
      <c r="A41" s="6">
        <v>11040</v>
      </c>
      <c r="B41" s="6">
        <v>28</v>
      </c>
      <c r="C41" s="10">
        <f>B41/24</f>
        <v>1.1666666666666667</v>
      </c>
      <c r="D41" s="6">
        <f>ROUNDUP(B41/4,0)</f>
        <v>7</v>
      </c>
      <c r="E41" s="6" t="str">
        <f>IF(COUNTIF(Processed!B:B,A41)&lt;D41,"Pending",IF(COUNTIF(Processed!B:B,A41)=D41,"Done",IF(COUNTIF(Processed!B:B,A41)&gt;D41,"Double Entries","Other")))</f>
        <v>Done</v>
      </c>
    </row>
    <row r="42" spans="1:5" x14ac:dyDescent="0.25">
      <c r="A42" s="6">
        <v>11041</v>
      </c>
      <c r="B42" s="6">
        <v>37</v>
      </c>
      <c r="C42" s="10">
        <f>B42/24</f>
        <v>1.5416666666666667</v>
      </c>
      <c r="D42" s="6">
        <f>ROUNDUP(B42/4,0)</f>
        <v>10</v>
      </c>
      <c r="E42" s="6" t="str">
        <f>IF(COUNTIF(Processed!B:B,A42)&lt;D42,"Pending",IF(COUNTIF(Processed!B:B,A42)=D42,"Done",IF(COUNTIF(Processed!B:B,A42)&gt;D42,"Double Entries","Other")))</f>
        <v>Done</v>
      </c>
    </row>
    <row r="43" spans="1:5" x14ac:dyDescent="0.25">
      <c r="A43" s="6">
        <v>11042</v>
      </c>
      <c r="B43" s="6">
        <v>20</v>
      </c>
      <c r="C43" s="10">
        <f>B43/24</f>
        <v>0.83333333333333337</v>
      </c>
      <c r="D43" s="6">
        <f>ROUNDUP(B43/4,0)</f>
        <v>5</v>
      </c>
      <c r="E43" s="6" t="str">
        <f>IF(COUNTIF(Processed!B:B,A43)&lt;D43,"Pending",IF(COUNTIF(Processed!B:B,A43)=D43,"Done",IF(COUNTIF(Processed!B:B,A43)&gt;D43,"Double Entries","Other")))</f>
        <v>Done</v>
      </c>
    </row>
    <row r="44" spans="1:5" x14ac:dyDescent="0.25">
      <c r="A44" s="6">
        <v>11043</v>
      </c>
      <c r="B44" s="6">
        <v>10</v>
      </c>
      <c r="C44" s="10">
        <f>B44/24</f>
        <v>0.41666666666666669</v>
      </c>
      <c r="D44" s="6">
        <f>ROUNDUP(B44/4,0)</f>
        <v>3</v>
      </c>
      <c r="E44" s="6" t="str">
        <f>IF(COUNTIF(Processed!B:B,A44)&lt;D44,"Pending",IF(COUNTIF(Processed!B:B,A44)=D44,"Done",IF(COUNTIF(Processed!B:B,A44)&gt;D44,"Double Entries","Other")))</f>
        <v>Done</v>
      </c>
    </row>
    <row r="45" spans="1:5" x14ac:dyDescent="0.25">
      <c r="A45" s="6">
        <v>11044</v>
      </c>
      <c r="B45" s="6">
        <v>32</v>
      </c>
      <c r="C45" s="10">
        <f>B45/24</f>
        <v>1.3333333333333333</v>
      </c>
      <c r="D45" s="6">
        <f>ROUNDUP(B45/4,0)</f>
        <v>8</v>
      </c>
      <c r="E45" s="6" t="str">
        <f>IF(COUNTIF(Processed!B:B,A45)&lt;D45,"Pending",IF(COUNTIF(Processed!B:B,A45)=D45,"Done",IF(COUNTIF(Processed!B:B,A45)&gt;D45,"Double Entries","Other")))</f>
        <v>Done</v>
      </c>
    </row>
    <row r="46" spans="1:5" x14ac:dyDescent="0.25">
      <c r="A46" s="6">
        <v>11045</v>
      </c>
      <c r="B46" s="6">
        <v>34</v>
      </c>
      <c r="C46" s="10">
        <f>B46/24</f>
        <v>1.4166666666666667</v>
      </c>
      <c r="D46" s="6">
        <f>ROUNDUP(B46/4,0)</f>
        <v>9</v>
      </c>
      <c r="E46" s="6" t="str">
        <f>IF(COUNTIF(Processed!B:B,A46)&lt;D46,"Pending",IF(COUNTIF(Processed!B:B,A46)=D46,"Done",IF(COUNTIF(Processed!B:B,A46)&gt;D46,"Double Entries","Other")))</f>
        <v>Done</v>
      </c>
    </row>
    <row r="47" spans="1:5" x14ac:dyDescent="0.25">
      <c r="A47" s="6">
        <v>11046</v>
      </c>
      <c r="B47" s="6">
        <v>15</v>
      </c>
      <c r="C47" s="10">
        <f>B47/24</f>
        <v>0.625</v>
      </c>
      <c r="D47" s="6">
        <f>ROUNDUP(B47/4,0)</f>
        <v>4</v>
      </c>
      <c r="E47" s="6" t="str">
        <f>IF(COUNTIF(Processed!B:B,A47)&lt;D47,"Pending",IF(COUNTIF(Processed!B:B,A47)=D47,"Done",IF(COUNTIF(Processed!B:B,A47)&gt;D47,"Double Entries","Other")))</f>
        <v>Done</v>
      </c>
    </row>
    <row r="48" spans="1:5" x14ac:dyDescent="0.25">
      <c r="A48" s="6">
        <v>11047</v>
      </c>
      <c r="B48" s="6">
        <v>25</v>
      </c>
      <c r="C48" s="10">
        <f>B48/24</f>
        <v>1.0416666666666667</v>
      </c>
      <c r="D48" s="6">
        <f>ROUNDUP(B48/4,0)</f>
        <v>7</v>
      </c>
      <c r="E48" s="6" t="str">
        <f>IF(COUNTIF(Processed!B:B,A48)&lt;D48,"Pending",IF(COUNTIF(Processed!B:B,A48)=D48,"Done",IF(COUNTIF(Processed!B:B,A48)&gt;D48,"Double Entries","Other")))</f>
        <v>Done</v>
      </c>
    </row>
    <row r="49" spans="1:5" x14ac:dyDescent="0.25">
      <c r="A49" s="6">
        <v>11048</v>
      </c>
      <c r="B49" s="6">
        <v>18</v>
      </c>
      <c r="C49" s="10">
        <f>B49/24</f>
        <v>0.75</v>
      </c>
      <c r="D49" s="6">
        <f>ROUNDUP(B49/4,0)</f>
        <v>5</v>
      </c>
      <c r="E49" s="6" t="str">
        <f>IF(COUNTIF(Processed!B:B,A49)&lt;D49,"Pending",IF(COUNTIF(Processed!B:B,A49)=D49,"Done",IF(COUNTIF(Processed!B:B,A49)&gt;D49,"Double Entries","Other")))</f>
        <v>Done</v>
      </c>
    </row>
    <row r="50" spans="1:5" x14ac:dyDescent="0.25">
      <c r="A50" s="6">
        <v>11049</v>
      </c>
      <c r="B50" s="6">
        <v>44</v>
      </c>
      <c r="C50" s="10">
        <f>B50/24</f>
        <v>1.8333333333333333</v>
      </c>
      <c r="D50" s="6">
        <f>ROUNDUP(B50/4,0)</f>
        <v>11</v>
      </c>
      <c r="E50" s="6" t="str">
        <f>IF(COUNTIF(Processed!B:B,A50)&lt;D50,"Pending",IF(COUNTIF(Processed!B:B,A50)=D50,"Done",IF(COUNTIF(Processed!B:B,A50)&gt;D50,"Double Entries","Other")))</f>
        <v>Done</v>
      </c>
    </row>
    <row r="51" spans="1:5" x14ac:dyDescent="0.25">
      <c r="A51" s="6">
        <v>11050</v>
      </c>
      <c r="B51" s="6">
        <v>36</v>
      </c>
      <c r="C51" s="10">
        <f>B51/24</f>
        <v>1.5</v>
      </c>
      <c r="D51" s="6">
        <f>ROUNDUP(B51/4,0)</f>
        <v>9</v>
      </c>
      <c r="E51" s="6" t="str">
        <f>IF(COUNTIF(Processed!B:B,A51)&lt;D51,"Pending",IF(COUNTIF(Processed!B:B,A51)=D51,"Done",IF(COUNTIF(Processed!B:B,A51)&gt;D51,"Double Entries","Other")))</f>
        <v>Done</v>
      </c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891598-F481-41A5-B074-B5AE6F17CA44}">
  <sheetPr codeName="Sheet3"/>
  <dimension ref="A1:G362"/>
  <sheetViews>
    <sheetView tabSelected="1" workbookViewId="0">
      <selection activeCell="G2" sqref="G2"/>
    </sheetView>
  </sheetViews>
  <sheetFormatPr defaultRowHeight="15" x14ac:dyDescent="0.25"/>
  <cols>
    <col min="1" max="1" width="9.42578125" style="6" bestFit="1" customWidth="1"/>
    <col min="2" max="2" width="7.42578125" style="6" bestFit="1" customWidth="1"/>
    <col min="3" max="3" width="15.85546875" style="6" bestFit="1" customWidth="1"/>
    <col min="4" max="4" width="15.28515625" style="10" bestFit="1" customWidth="1"/>
    <col min="5" max="5" width="16" style="6" bestFit="1" customWidth="1"/>
    <col min="6" max="6" width="13.7109375" style="6" bestFit="1" customWidth="1"/>
    <col min="7" max="7" width="16.85546875" style="6" bestFit="1" customWidth="1"/>
  </cols>
  <sheetData>
    <row r="1" spans="1:7" x14ac:dyDescent="0.25">
      <c r="A1" s="4" t="s">
        <v>8</v>
      </c>
      <c r="B1" s="4" t="s">
        <v>0</v>
      </c>
      <c r="C1" s="4" t="s">
        <v>1</v>
      </c>
      <c r="D1" s="9" t="s">
        <v>2</v>
      </c>
      <c r="E1" s="4" t="s">
        <v>9</v>
      </c>
      <c r="F1" s="4" t="s">
        <v>10</v>
      </c>
      <c r="G1" s="4" t="s">
        <v>11</v>
      </c>
    </row>
    <row r="2" spans="1:7" x14ac:dyDescent="0.25">
      <c r="A2" s="15">
        <v>45778</v>
      </c>
      <c r="B2" s="6">
        <v>11001</v>
      </c>
      <c r="C2" s="6">
        <v>4</v>
      </c>
      <c r="D2" s="10">
        <f>C2/24</f>
        <v>0.16666666666666666</v>
      </c>
      <c r="E2" s="6" t="str">
        <f>VLOOKUP(B2,Ref!A:D,2,0)</f>
        <v>Aditi Shah</v>
      </c>
      <c r="F2" s="6" t="str">
        <f>VLOOKUP(B2,Ref!A:D,3,0)</f>
        <v>Ravi Mehta</v>
      </c>
      <c r="G2" s="6" t="str">
        <f>VLOOKUP(B2,Ref!A:D,4,0)</f>
        <v>Billing Support</v>
      </c>
    </row>
    <row r="3" spans="1:7" x14ac:dyDescent="0.25">
      <c r="A3" s="15">
        <v>45779</v>
      </c>
      <c r="B3" s="6">
        <v>11001</v>
      </c>
      <c r="C3" s="6">
        <v>2</v>
      </c>
      <c r="D3" s="10">
        <f>C3/24</f>
        <v>8.3333333333333329E-2</v>
      </c>
      <c r="E3" s="6" t="str">
        <f>VLOOKUP(B3,Ref!A:D,2,0)</f>
        <v>Aditi Shah</v>
      </c>
      <c r="F3" s="6" t="str">
        <f>VLOOKUP(B3,Ref!A:D,3,0)</f>
        <v>Ravi Mehta</v>
      </c>
      <c r="G3" s="6" t="str">
        <f>VLOOKUP(B3,Ref!A:D,4,0)</f>
        <v>Billing Support</v>
      </c>
    </row>
    <row r="4" spans="1:7" x14ac:dyDescent="0.25">
      <c r="A4" s="15">
        <v>45778</v>
      </c>
      <c r="B4" s="6">
        <v>11002</v>
      </c>
      <c r="C4" s="6">
        <v>4</v>
      </c>
      <c r="D4" s="10">
        <f>C4/24</f>
        <v>0.16666666666666666</v>
      </c>
      <c r="E4" s="6" t="str">
        <f>VLOOKUP(B4,Ref!A:D,2,0)</f>
        <v>Arjun Patel</v>
      </c>
      <c r="F4" s="6" t="str">
        <f>VLOOKUP(B4,Ref!A:D,3,0)</f>
        <v>Ravi Mehta</v>
      </c>
      <c r="G4" s="6" t="str">
        <f>VLOOKUP(B4,Ref!A:D,4,0)</f>
        <v>Billing Support</v>
      </c>
    </row>
    <row r="5" spans="1:7" x14ac:dyDescent="0.25">
      <c r="A5" s="15">
        <v>45779</v>
      </c>
      <c r="B5" s="6">
        <v>11002</v>
      </c>
      <c r="C5" s="6">
        <v>4</v>
      </c>
      <c r="D5" s="10">
        <f>C5/24</f>
        <v>0.16666666666666666</v>
      </c>
      <c r="E5" s="6" t="str">
        <f>VLOOKUP(B5,Ref!A:D,2,0)</f>
        <v>Arjun Patel</v>
      </c>
      <c r="F5" s="6" t="str">
        <f>VLOOKUP(B5,Ref!A:D,3,0)</f>
        <v>Ravi Mehta</v>
      </c>
      <c r="G5" s="6" t="str">
        <f>VLOOKUP(B5,Ref!A:D,4,0)</f>
        <v>Billing Support</v>
      </c>
    </row>
    <row r="6" spans="1:7" x14ac:dyDescent="0.25">
      <c r="A6" s="15">
        <v>45782</v>
      </c>
      <c r="B6" s="6">
        <v>11002</v>
      </c>
      <c r="C6" s="6">
        <v>4</v>
      </c>
      <c r="D6" s="10">
        <f>C6/24</f>
        <v>0.16666666666666666</v>
      </c>
      <c r="E6" s="6" t="str">
        <f>VLOOKUP(B6,Ref!A:D,2,0)</f>
        <v>Arjun Patel</v>
      </c>
      <c r="F6" s="6" t="str">
        <f>VLOOKUP(B6,Ref!A:D,3,0)</f>
        <v>Ravi Mehta</v>
      </c>
      <c r="G6" s="6" t="str">
        <f>VLOOKUP(B6,Ref!A:D,4,0)</f>
        <v>Billing Support</v>
      </c>
    </row>
    <row r="7" spans="1:7" x14ac:dyDescent="0.25">
      <c r="A7" s="15">
        <v>45783</v>
      </c>
      <c r="B7" s="6">
        <v>11002</v>
      </c>
      <c r="C7" s="6">
        <v>4</v>
      </c>
      <c r="D7" s="10">
        <f>C7/24</f>
        <v>0.16666666666666666</v>
      </c>
      <c r="E7" s="6" t="str">
        <f>VLOOKUP(B7,Ref!A:D,2,0)</f>
        <v>Arjun Patel</v>
      </c>
      <c r="F7" s="6" t="str">
        <f>VLOOKUP(B7,Ref!A:D,3,0)</f>
        <v>Ravi Mehta</v>
      </c>
      <c r="G7" s="6" t="str">
        <f>VLOOKUP(B7,Ref!A:D,4,0)</f>
        <v>Billing Support</v>
      </c>
    </row>
    <row r="8" spans="1:7" x14ac:dyDescent="0.25">
      <c r="A8" s="15">
        <v>45784</v>
      </c>
      <c r="B8" s="6">
        <v>11002</v>
      </c>
      <c r="C8" s="6">
        <v>4</v>
      </c>
      <c r="D8" s="10">
        <f>C8/24</f>
        <v>0.16666666666666666</v>
      </c>
      <c r="E8" s="6" t="str">
        <f>VLOOKUP(B8,Ref!A:D,2,0)</f>
        <v>Arjun Patel</v>
      </c>
      <c r="F8" s="6" t="str">
        <f>VLOOKUP(B8,Ref!A:D,3,0)</f>
        <v>Ravi Mehta</v>
      </c>
      <c r="G8" s="6" t="str">
        <f>VLOOKUP(B8,Ref!A:D,4,0)</f>
        <v>Billing Support</v>
      </c>
    </row>
    <row r="9" spans="1:7" x14ac:dyDescent="0.25">
      <c r="A9" s="15">
        <v>45785</v>
      </c>
      <c r="B9" s="6">
        <v>11002</v>
      </c>
      <c r="C9" s="6">
        <v>4</v>
      </c>
      <c r="D9" s="10">
        <f>C9/24</f>
        <v>0.16666666666666666</v>
      </c>
      <c r="E9" s="6" t="str">
        <f>VLOOKUP(B9,Ref!A:D,2,0)</f>
        <v>Arjun Patel</v>
      </c>
      <c r="F9" s="6" t="str">
        <f>VLOOKUP(B9,Ref!A:D,3,0)</f>
        <v>Ravi Mehta</v>
      </c>
      <c r="G9" s="6" t="str">
        <f>VLOOKUP(B9,Ref!A:D,4,0)</f>
        <v>Billing Support</v>
      </c>
    </row>
    <row r="10" spans="1:7" x14ac:dyDescent="0.25">
      <c r="A10" s="15">
        <v>45786</v>
      </c>
      <c r="B10" s="6">
        <v>11002</v>
      </c>
      <c r="C10" s="6">
        <v>0.64999999999999858</v>
      </c>
      <c r="D10" s="10">
        <f>C10/24</f>
        <v>2.7083333333333275E-2</v>
      </c>
      <c r="E10" s="6" t="str">
        <f>VLOOKUP(B10,Ref!A:D,2,0)</f>
        <v>Arjun Patel</v>
      </c>
      <c r="F10" s="6" t="str">
        <f>VLOOKUP(B10,Ref!A:D,3,0)</f>
        <v>Ravi Mehta</v>
      </c>
      <c r="G10" s="6" t="str">
        <f>VLOOKUP(B10,Ref!A:D,4,0)</f>
        <v>Billing Support</v>
      </c>
    </row>
    <row r="11" spans="1:7" x14ac:dyDescent="0.25">
      <c r="A11" s="15">
        <v>45778</v>
      </c>
      <c r="B11" s="6">
        <v>11003</v>
      </c>
      <c r="C11" s="6">
        <v>4</v>
      </c>
      <c r="D11" s="10">
        <f>C11/24</f>
        <v>0.16666666666666666</v>
      </c>
      <c r="E11" s="6" t="str">
        <f>VLOOKUP(B11,Ref!A:D,2,0)</f>
        <v>Bhavna Joshi</v>
      </c>
      <c r="F11" s="6" t="str">
        <f>VLOOKUP(B11,Ref!A:D,3,0)</f>
        <v>Ravi Mehta</v>
      </c>
      <c r="G11" s="6" t="str">
        <f>VLOOKUP(B11,Ref!A:D,4,0)</f>
        <v>Billing Support</v>
      </c>
    </row>
    <row r="12" spans="1:7" x14ac:dyDescent="0.25">
      <c r="A12" s="15">
        <v>45779</v>
      </c>
      <c r="B12" s="6">
        <v>11003</v>
      </c>
      <c r="C12" s="6">
        <v>4</v>
      </c>
      <c r="D12" s="10">
        <f>C12/24</f>
        <v>0.16666666666666666</v>
      </c>
      <c r="E12" s="6" t="str">
        <f>VLOOKUP(B12,Ref!A:D,2,0)</f>
        <v>Bhavna Joshi</v>
      </c>
      <c r="F12" s="6" t="str">
        <f>VLOOKUP(B12,Ref!A:D,3,0)</f>
        <v>Ravi Mehta</v>
      </c>
      <c r="G12" s="6" t="str">
        <f>VLOOKUP(B12,Ref!A:D,4,0)</f>
        <v>Billing Support</v>
      </c>
    </row>
    <row r="13" spans="1:7" x14ac:dyDescent="0.25">
      <c r="A13" s="15">
        <v>45782</v>
      </c>
      <c r="B13" s="6">
        <v>11003</v>
      </c>
      <c r="C13" s="6">
        <v>4</v>
      </c>
      <c r="D13" s="10">
        <f>C13/24</f>
        <v>0.16666666666666666</v>
      </c>
      <c r="E13" s="6" t="str">
        <f>VLOOKUP(B13,Ref!A:D,2,0)</f>
        <v>Bhavna Joshi</v>
      </c>
      <c r="F13" s="6" t="str">
        <f>VLOOKUP(B13,Ref!A:D,3,0)</f>
        <v>Ravi Mehta</v>
      </c>
      <c r="G13" s="6" t="str">
        <f>VLOOKUP(B13,Ref!A:D,4,0)</f>
        <v>Billing Support</v>
      </c>
    </row>
    <row r="14" spans="1:7" x14ac:dyDescent="0.25">
      <c r="A14" s="15">
        <v>45783</v>
      </c>
      <c r="B14" s="6">
        <v>11003</v>
      </c>
      <c r="C14" s="6">
        <v>4</v>
      </c>
      <c r="D14" s="10">
        <f>C14/24</f>
        <v>0.16666666666666666</v>
      </c>
      <c r="E14" s="6" t="str">
        <f>VLOOKUP(B14,Ref!A:D,2,0)</f>
        <v>Bhavna Joshi</v>
      </c>
      <c r="F14" s="6" t="str">
        <f>VLOOKUP(B14,Ref!A:D,3,0)</f>
        <v>Ravi Mehta</v>
      </c>
      <c r="G14" s="6" t="str">
        <f>VLOOKUP(B14,Ref!A:D,4,0)</f>
        <v>Billing Support</v>
      </c>
    </row>
    <row r="15" spans="1:7" x14ac:dyDescent="0.25">
      <c r="A15" s="15">
        <v>45784</v>
      </c>
      <c r="B15" s="6">
        <v>11003</v>
      </c>
      <c r="C15" s="6">
        <v>4</v>
      </c>
      <c r="D15" s="10">
        <f>C15/24</f>
        <v>0.16666666666666666</v>
      </c>
      <c r="E15" s="6" t="str">
        <f>VLOOKUP(B15,Ref!A:D,2,0)</f>
        <v>Bhavna Joshi</v>
      </c>
      <c r="F15" s="6" t="str">
        <f>VLOOKUP(B15,Ref!A:D,3,0)</f>
        <v>Ravi Mehta</v>
      </c>
      <c r="G15" s="6" t="str">
        <f>VLOOKUP(B15,Ref!A:D,4,0)</f>
        <v>Billing Support</v>
      </c>
    </row>
    <row r="16" spans="1:7" x14ac:dyDescent="0.25">
      <c r="A16" s="15">
        <v>45785</v>
      </c>
      <c r="B16" s="6">
        <v>11003</v>
      </c>
      <c r="C16" s="6">
        <v>4</v>
      </c>
      <c r="D16" s="10">
        <f>C16/24</f>
        <v>0.16666666666666666</v>
      </c>
      <c r="E16" s="6" t="str">
        <f>VLOOKUP(B16,Ref!A:D,2,0)</f>
        <v>Bhavna Joshi</v>
      </c>
      <c r="F16" s="6" t="str">
        <f>VLOOKUP(B16,Ref!A:D,3,0)</f>
        <v>Ravi Mehta</v>
      </c>
      <c r="G16" s="6" t="str">
        <f>VLOOKUP(B16,Ref!A:D,4,0)</f>
        <v>Billing Support</v>
      </c>
    </row>
    <row r="17" spans="1:7" x14ac:dyDescent="0.25">
      <c r="A17" s="15">
        <v>45786</v>
      </c>
      <c r="B17" s="6">
        <v>11003</v>
      </c>
      <c r="C17" s="6">
        <v>4</v>
      </c>
      <c r="D17" s="10">
        <f>C17/24</f>
        <v>0.16666666666666666</v>
      </c>
      <c r="E17" s="6" t="str">
        <f>VLOOKUP(B17,Ref!A:D,2,0)</f>
        <v>Bhavna Joshi</v>
      </c>
      <c r="F17" s="6" t="str">
        <f>VLOOKUP(B17,Ref!A:D,3,0)</f>
        <v>Ravi Mehta</v>
      </c>
      <c r="G17" s="6" t="str">
        <f>VLOOKUP(B17,Ref!A:D,4,0)</f>
        <v>Billing Support</v>
      </c>
    </row>
    <row r="18" spans="1:7" x14ac:dyDescent="0.25">
      <c r="A18" s="15">
        <v>45789</v>
      </c>
      <c r="B18" s="6">
        <v>11003</v>
      </c>
      <c r="C18" s="6">
        <v>4</v>
      </c>
      <c r="D18" s="10">
        <f>C18/24</f>
        <v>0.16666666666666666</v>
      </c>
      <c r="E18" s="6" t="str">
        <f>VLOOKUP(B18,Ref!A:D,2,0)</f>
        <v>Bhavna Joshi</v>
      </c>
      <c r="F18" s="6" t="str">
        <f>VLOOKUP(B18,Ref!A:D,3,0)</f>
        <v>Ravi Mehta</v>
      </c>
      <c r="G18" s="6" t="str">
        <f>VLOOKUP(B18,Ref!A:D,4,0)</f>
        <v>Billing Support</v>
      </c>
    </row>
    <row r="19" spans="1:7" x14ac:dyDescent="0.25">
      <c r="A19" s="15">
        <v>45790</v>
      </c>
      <c r="B19" s="6">
        <v>11003</v>
      </c>
      <c r="C19" s="6">
        <v>4</v>
      </c>
      <c r="D19" s="10">
        <f>C19/24</f>
        <v>0.16666666666666666</v>
      </c>
      <c r="E19" s="6" t="str">
        <f>VLOOKUP(B19,Ref!A:D,2,0)</f>
        <v>Bhavna Joshi</v>
      </c>
      <c r="F19" s="6" t="str">
        <f>VLOOKUP(B19,Ref!A:D,3,0)</f>
        <v>Ravi Mehta</v>
      </c>
      <c r="G19" s="6" t="str">
        <f>VLOOKUP(B19,Ref!A:D,4,0)</f>
        <v>Billing Support</v>
      </c>
    </row>
    <row r="20" spans="1:7" x14ac:dyDescent="0.25">
      <c r="A20" s="15">
        <v>45791</v>
      </c>
      <c r="B20" s="6">
        <v>11003</v>
      </c>
      <c r="C20" s="6">
        <v>0.25</v>
      </c>
      <c r="D20" s="10">
        <f>C20/24</f>
        <v>1.0416666666666666E-2</v>
      </c>
      <c r="E20" s="6" t="str">
        <f>VLOOKUP(B20,Ref!A:D,2,0)</f>
        <v>Bhavna Joshi</v>
      </c>
      <c r="F20" s="6" t="str">
        <f>VLOOKUP(B20,Ref!A:D,3,0)</f>
        <v>Ravi Mehta</v>
      </c>
      <c r="G20" s="6" t="str">
        <f>VLOOKUP(B20,Ref!A:D,4,0)</f>
        <v>Billing Support</v>
      </c>
    </row>
    <row r="21" spans="1:7" x14ac:dyDescent="0.25">
      <c r="A21" s="15">
        <v>45778</v>
      </c>
      <c r="B21" s="6">
        <v>11004</v>
      </c>
      <c r="C21" s="6">
        <v>2.36</v>
      </c>
      <c r="D21" s="10">
        <f>C21/24</f>
        <v>9.8333333333333328E-2</v>
      </c>
      <c r="E21" s="6" t="str">
        <f>VLOOKUP(B21,Ref!A:D,2,0)</f>
        <v>Chetan Kumar</v>
      </c>
      <c r="F21" s="6" t="str">
        <f>VLOOKUP(B21,Ref!A:D,3,0)</f>
        <v>Ravi Mehta</v>
      </c>
      <c r="G21" s="6" t="str">
        <f>VLOOKUP(B21,Ref!A:D,4,0)</f>
        <v>Billing Support</v>
      </c>
    </row>
    <row r="22" spans="1:7" x14ac:dyDescent="0.25">
      <c r="A22" s="15">
        <v>45778</v>
      </c>
      <c r="B22" s="6">
        <v>11005</v>
      </c>
      <c r="C22" s="6">
        <v>4</v>
      </c>
      <c r="D22" s="10">
        <f>C22/24</f>
        <v>0.16666666666666666</v>
      </c>
      <c r="E22" s="6" t="str">
        <f>VLOOKUP(B22,Ref!A:D,2,0)</f>
        <v>Disha Rao</v>
      </c>
      <c r="F22" s="6" t="str">
        <f>VLOOKUP(B22,Ref!A:D,3,0)</f>
        <v>Ravi Mehta</v>
      </c>
      <c r="G22" s="6" t="str">
        <f>VLOOKUP(B22,Ref!A:D,4,0)</f>
        <v>Billing Support</v>
      </c>
    </row>
    <row r="23" spans="1:7" x14ac:dyDescent="0.25">
      <c r="A23" s="15">
        <v>45779</v>
      </c>
      <c r="B23" s="6">
        <v>11005</v>
      </c>
      <c r="C23" s="6">
        <v>4</v>
      </c>
      <c r="D23" s="10">
        <f>C23/24</f>
        <v>0.16666666666666666</v>
      </c>
      <c r="E23" s="6" t="str">
        <f>VLOOKUP(B23,Ref!A:D,2,0)</f>
        <v>Disha Rao</v>
      </c>
      <c r="F23" s="6" t="str">
        <f>VLOOKUP(B23,Ref!A:D,3,0)</f>
        <v>Ravi Mehta</v>
      </c>
      <c r="G23" s="6" t="str">
        <f>VLOOKUP(B23,Ref!A:D,4,0)</f>
        <v>Billing Support</v>
      </c>
    </row>
    <row r="24" spans="1:7" x14ac:dyDescent="0.25">
      <c r="A24" s="15">
        <v>45782</v>
      </c>
      <c r="B24" s="6">
        <v>11005</v>
      </c>
      <c r="C24" s="6">
        <v>4</v>
      </c>
      <c r="D24" s="10">
        <f>C24/24</f>
        <v>0.16666666666666666</v>
      </c>
      <c r="E24" s="6" t="str">
        <f>VLOOKUP(B24,Ref!A:D,2,0)</f>
        <v>Disha Rao</v>
      </c>
      <c r="F24" s="6" t="str">
        <f>VLOOKUP(B24,Ref!A:D,3,0)</f>
        <v>Ravi Mehta</v>
      </c>
      <c r="G24" s="6" t="str">
        <f>VLOOKUP(B24,Ref!A:D,4,0)</f>
        <v>Billing Support</v>
      </c>
    </row>
    <row r="25" spans="1:7" x14ac:dyDescent="0.25">
      <c r="A25" s="15">
        <v>45783</v>
      </c>
      <c r="B25" s="6">
        <v>11005</v>
      </c>
      <c r="C25" s="6">
        <v>4</v>
      </c>
      <c r="D25" s="10">
        <f>C25/24</f>
        <v>0.16666666666666666</v>
      </c>
      <c r="E25" s="6" t="str">
        <f>VLOOKUP(B25,Ref!A:D,2,0)</f>
        <v>Disha Rao</v>
      </c>
      <c r="F25" s="6" t="str">
        <f>VLOOKUP(B25,Ref!A:D,3,0)</f>
        <v>Ravi Mehta</v>
      </c>
      <c r="G25" s="6" t="str">
        <f>VLOOKUP(B25,Ref!A:D,4,0)</f>
        <v>Billing Support</v>
      </c>
    </row>
    <row r="26" spans="1:7" x14ac:dyDescent="0.25">
      <c r="A26" s="15">
        <v>45784</v>
      </c>
      <c r="B26" s="6">
        <v>11005</v>
      </c>
      <c r="C26" s="6">
        <v>4</v>
      </c>
      <c r="D26" s="10">
        <f>C26/24</f>
        <v>0.16666666666666666</v>
      </c>
      <c r="E26" s="6" t="str">
        <f>VLOOKUP(B26,Ref!A:D,2,0)</f>
        <v>Disha Rao</v>
      </c>
      <c r="F26" s="6" t="str">
        <f>VLOOKUP(B26,Ref!A:D,3,0)</f>
        <v>Ravi Mehta</v>
      </c>
      <c r="G26" s="6" t="str">
        <f>VLOOKUP(B26,Ref!A:D,4,0)</f>
        <v>Billing Support</v>
      </c>
    </row>
    <row r="27" spans="1:7" x14ac:dyDescent="0.25">
      <c r="A27" s="15">
        <v>45785</v>
      </c>
      <c r="B27" s="6">
        <v>11005</v>
      </c>
      <c r="C27" s="6">
        <v>4</v>
      </c>
      <c r="D27" s="10">
        <f>C27/24</f>
        <v>0.16666666666666666</v>
      </c>
      <c r="E27" s="6" t="str">
        <f>VLOOKUP(B27,Ref!A:D,2,0)</f>
        <v>Disha Rao</v>
      </c>
      <c r="F27" s="6" t="str">
        <f>VLOOKUP(B27,Ref!A:D,3,0)</f>
        <v>Ravi Mehta</v>
      </c>
      <c r="G27" s="6" t="str">
        <f>VLOOKUP(B27,Ref!A:D,4,0)</f>
        <v>Billing Support</v>
      </c>
    </row>
    <row r="28" spans="1:7" x14ac:dyDescent="0.25">
      <c r="A28" s="15">
        <v>45786</v>
      </c>
      <c r="B28" s="6">
        <v>11005</v>
      </c>
      <c r="C28" s="6">
        <v>4</v>
      </c>
      <c r="D28" s="10">
        <f>C28/24</f>
        <v>0.16666666666666666</v>
      </c>
      <c r="E28" s="6" t="str">
        <f>VLOOKUP(B28,Ref!A:D,2,0)</f>
        <v>Disha Rao</v>
      </c>
      <c r="F28" s="6" t="str">
        <f>VLOOKUP(B28,Ref!A:D,3,0)</f>
        <v>Ravi Mehta</v>
      </c>
      <c r="G28" s="6" t="str">
        <f>VLOOKUP(B28,Ref!A:D,4,0)</f>
        <v>Billing Support</v>
      </c>
    </row>
    <row r="29" spans="1:7" x14ac:dyDescent="0.25">
      <c r="A29" s="15">
        <v>45789</v>
      </c>
      <c r="B29" s="6">
        <v>11005</v>
      </c>
      <c r="C29" s="6">
        <v>4</v>
      </c>
      <c r="D29" s="10">
        <f>C29/24</f>
        <v>0.16666666666666666</v>
      </c>
      <c r="E29" s="6" t="str">
        <f>VLOOKUP(B29,Ref!A:D,2,0)</f>
        <v>Disha Rao</v>
      </c>
      <c r="F29" s="6" t="str">
        <f>VLOOKUP(B29,Ref!A:D,3,0)</f>
        <v>Ravi Mehta</v>
      </c>
      <c r="G29" s="6" t="str">
        <f>VLOOKUP(B29,Ref!A:D,4,0)</f>
        <v>Billing Support</v>
      </c>
    </row>
    <row r="30" spans="1:7" x14ac:dyDescent="0.25">
      <c r="A30" s="15">
        <v>45790</v>
      </c>
      <c r="B30" s="6">
        <v>11005</v>
      </c>
      <c r="C30" s="6">
        <v>4</v>
      </c>
      <c r="D30" s="10">
        <f>C30/24</f>
        <v>0.16666666666666666</v>
      </c>
      <c r="E30" s="6" t="str">
        <f>VLOOKUP(B30,Ref!A:D,2,0)</f>
        <v>Disha Rao</v>
      </c>
      <c r="F30" s="6" t="str">
        <f>VLOOKUP(B30,Ref!A:D,3,0)</f>
        <v>Ravi Mehta</v>
      </c>
      <c r="G30" s="6" t="str">
        <f>VLOOKUP(B30,Ref!A:D,4,0)</f>
        <v>Billing Support</v>
      </c>
    </row>
    <row r="31" spans="1:7" x14ac:dyDescent="0.25">
      <c r="A31" s="15">
        <v>45791</v>
      </c>
      <c r="B31" s="6">
        <v>11005</v>
      </c>
      <c r="C31" s="6">
        <v>4</v>
      </c>
      <c r="D31" s="10">
        <f>C31/24</f>
        <v>0.16666666666666666</v>
      </c>
      <c r="E31" s="6" t="str">
        <f>VLOOKUP(B31,Ref!A:D,2,0)</f>
        <v>Disha Rao</v>
      </c>
      <c r="F31" s="6" t="str">
        <f>VLOOKUP(B31,Ref!A:D,3,0)</f>
        <v>Ravi Mehta</v>
      </c>
      <c r="G31" s="6" t="str">
        <f>VLOOKUP(B31,Ref!A:D,4,0)</f>
        <v>Billing Support</v>
      </c>
    </row>
    <row r="32" spans="1:7" x14ac:dyDescent="0.25">
      <c r="A32" s="15">
        <v>45792</v>
      </c>
      <c r="B32" s="6">
        <v>11005</v>
      </c>
      <c r="C32" s="6">
        <v>4</v>
      </c>
      <c r="D32" s="10">
        <f>C32/24</f>
        <v>0.16666666666666666</v>
      </c>
      <c r="E32" s="6" t="str">
        <f>VLOOKUP(B32,Ref!A:D,2,0)</f>
        <v>Disha Rao</v>
      </c>
      <c r="F32" s="6" t="str">
        <f>VLOOKUP(B32,Ref!A:D,3,0)</f>
        <v>Ravi Mehta</v>
      </c>
      <c r="G32" s="6" t="str">
        <f>VLOOKUP(B32,Ref!A:D,4,0)</f>
        <v>Billing Support</v>
      </c>
    </row>
    <row r="33" spans="1:7" x14ac:dyDescent="0.25">
      <c r="A33" s="15">
        <v>45793</v>
      </c>
      <c r="B33" s="6">
        <v>11005</v>
      </c>
      <c r="C33" s="6">
        <v>4</v>
      </c>
      <c r="D33" s="10">
        <f>C33/24</f>
        <v>0.16666666666666666</v>
      </c>
      <c r="E33" s="6" t="str">
        <f>VLOOKUP(B33,Ref!A:D,2,0)</f>
        <v>Disha Rao</v>
      </c>
      <c r="F33" s="6" t="str">
        <f>VLOOKUP(B33,Ref!A:D,3,0)</f>
        <v>Ravi Mehta</v>
      </c>
      <c r="G33" s="6" t="str">
        <f>VLOOKUP(B33,Ref!A:D,4,0)</f>
        <v>Billing Support</v>
      </c>
    </row>
    <row r="34" spans="1:7" x14ac:dyDescent="0.25">
      <c r="A34" s="15">
        <v>45796</v>
      </c>
      <c r="B34" s="6">
        <v>11005</v>
      </c>
      <c r="C34" s="6">
        <v>4</v>
      </c>
      <c r="D34" s="10">
        <f>C34/24</f>
        <v>0.16666666666666666</v>
      </c>
      <c r="E34" s="6" t="str">
        <f>VLOOKUP(B34,Ref!A:D,2,0)</f>
        <v>Disha Rao</v>
      </c>
      <c r="F34" s="6" t="str">
        <f>VLOOKUP(B34,Ref!A:D,3,0)</f>
        <v>Ravi Mehta</v>
      </c>
      <c r="G34" s="6" t="str">
        <f>VLOOKUP(B34,Ref!A:D,4,0)</f>
        <v>Billing Support</v>
      </c>
    </row>
    <row r="35" spans="1:7" x14ac:dyDescent="0.25">
      <c r="A35" s="15">
        <v>45797</v>
      </c>
      <c r="B35" s="6">
        <v>11005</v>
      </c>
      <c r="C35" s="6">
        <v>4</v>
      </c>
      <c r="D35" s="10">
        <f>C35/24</f>
        <v>0.16666666666666666</v>
      </c>
      <c r="E35" s="6" t="str">
        <f>VLOOKUP(B35,Ref!A:D,2,0)</f>
        <v>Disha Rao</v>
      </c>
      <c r="F35" s="6" t="str">
        <f>VLOOKUP(B35,Ref!A:D,3,0)</f>
        <v>Ravi Mehta</v>
      </c>
      <c r="G35" s="6" t="str">
        <f>VLOOKUP(B35,Ref!A:D,4,0)</f>
        <v>Billing Support</v>
      </c>
    </row>
    <row r="36" spans="1:7" x14ac:dyDescent="0.25">
      <c r="A36" s="15">
        <v>45798</v>
      </c>
      <c r="B36" s="6">
        <v>11005</v>
      </c>
      <c r="C36" s="6">
        <v>4</v>
      </c>
      <c r="D36" s="10">
        <f>C36/24</f>
        <v>0.16666666666666666</v>
      </c>
      <c r="E36" s="6" t="str">
        <f>VLOOKUP(B36,Ref!A:D,2,0)</f>
        <v>Disha Rao</v>
      </c>
      <c r="F36" s="6" t="str">
        <f>VLOOKUP(B36,Ref!A:D,3,0)</f>
        <v>Ravi Mehta</v>
      </c>
      <c r="G36" s="6" t="str">
        <f>VLOOKUP(B36,Ref!A:D,4,0)</f>
        <v>Billing Support</v>
      </c>
    </row>
    <row r="37" spans="1:7" x14ac:dyDescent="0.25">
      <c r="A37" s="15">
        <v>45799</v>
      </c>
      <c r="B37" s="6">
        <v>11005</v>
      </c>
      <c r="C37" s="6">
        <v>4</v>
      </c>
      <c r="D37" s="10">
        <f>C37/24</f>
        <v>0.16666666666666666</v>
      </c>
      <c r="E37" s="6" t="str">
        <f>VLOOKUP(B37,Ref!A:D,2,0)</f>
        <v>Disha Rao</v>
      </c>
      <c r="F37" s="6" t="str">
        <f>VLOOKUP(B37,Ref!A:D,3,0)</f>
        <v>Ravi Mehta</v>
      </c>
      <c r="G37" s="6" t="str">
        <f>VLOOKUP(B37,Ref!A:D,4,0)</f>
        <v>Billing Support</v>
      </c>
    </row>
    <row r="38" spans="1:7" x14ac:dyDescent="0.25">
      <c r="A38" s="15">
        <v>45800</v>
      </c>
      <c r="B38" s="6">
        <v>11005</v>
      </c>
      <c r="C38" s="6">
        <v>1</v>
      </c>
      <c r="D38" s="10">
        <f>C38/24</f>
        <v>4.1666666666666664E-2</v>
      </c>
      <c r="E38" s="6" t="str">
        <f>VLOOKUP(B38,Ref!A:D,2,0)</f>
        <v>Disha Rao</v>
      </c>
      <c r="F38" s="6" t="str">
        <f>VLOOKUP(B38,Ref!A:D,3,0)</f>
        <v>Ravi Mehta</v>
      </c>
      <c r="G38" s="6" t="str">
        <f>VLOOKUP(B38,Ref!A:D,4,0)</f>
        <v>Billing Support</v>
      </c>
    </row>
    <row r="39" spans="1:7" x14ac:dyDescent="0.25">
      <c r="A39" s="15">
        <v>45778</v>
      </c>
      <c r="B39" s="6">
        <v>11006</v>
      </c>
      <c r="C39" s="6">
        <v>4</v>
      </c>
      <c r="D39" s="10">
        <f>C39/24</f>
        <v>0.16666666666666666</v>
      </c>
      <c r="E39" s="6" t="str">
        <f>VLOOKUP(B39,Ref!A:D,2,0)</f>
        <v>Eshan Desai</v>
      </c>
      <c r="F39" s="6" t="str">
        <f>VLOOKUP(B39,Ref!A:D,3,0)</f>
        <v>Ravi Mehta</v>
      </c>
      <c r="G39" s="6" t="str">
        <f>VLOOKUP(B39,Ref!A:D,4,0)</f>
        <v>Billing Support</v>
      </c>
    </row>
    <row r="40" spans="1:7" x14ac:dyDescent="0.25">
      <c r="A40" s="15">
        <v>45779</v>
      </c>
      <c r="B40" s="6">
        <v>11006</v>
      </c>
      <c r="C40" s="6">
        <v>4</v>
      </c>
      <c r="D40" s="10">
        <f>C40/24</f>
        <v>0.16666666666666666</v>
      </c>
      <c r="E40" s="6" t="str">
        <f>VLOOKUP(B40,Ref!A:D,2,0)</f>
        <v>Eshan Desai</v>
      </c>
      <c r="F40" s="6" t="str">
        <f>VLOOKUP(B40,Ref!A:D,3,0)</f>
        <v>Ravi Mehta</v>
      </c>
      <c r="G40" s="6" t="str">
        <f>VLOOKUP(B40,Ref!A:D,4,0)</f>
        <v>Billing Support</v>
      </c>
    </row>
    <row r="41" spans="1:7" x14ac:dyDescent="0.25">
      <c r="A41" s="15">
        <v>45782</v>
      </c>
      <c r="B41" s="6">
        <v>11006</v>
      </c>
      <c r="C41" s="6">
        <v>4</v>
      </c>
      <c r="D41" s="10">
        <f>C41/24</f>
        <v>0.16666666666666666</v>
      </c>
      <c r="E41" s="6" t="str">
        <f>VLOOKUP(B41,Ref!A:D,2,0)</f>
        <v>Eshan Desai</v>
      </c>
      <c r="F41" s="6" t="str">
        <f>VLOOKUP(B41,Ref!A:D,3,0)</f>
        <v>Ravi Mehta</v>
      </c>
      <c r="G41" s="6" t="str">
        <f>VLOOKUP(B41,Ref!A:D,4,0)</f>
        <v>Billing Support</v>
      </c>
    </row>
    <row r="42" spans="1:7" x14ac:dyDescent="0.25">
      <c r="A42" s="15">
        <v>45783</v>
      </c>
      <c r="B42" s="6">
        <v>11006</v>
      </c>
      <c r="C42" s="6">
        <v>4</v>
      </c>
      <c r="D42" s="10">
        <f>C42/24</f>
        <v>0.16666666666666666</v>
      </c>
      <c r="E42" s="6" t="str">
        <f>VLOOKUP(B42,Ref!A:D,2,0)</f>
        <v>Eshan Desai</v>
      </c>
      <c r="F42" s="6" t="str">
        <f>VLOOKUP(B42,Ref!A:D,3,0)</f>
        <v>Ravi Mehta</v>
      </c>
      <c r="G42" s="6" t="str">
        <f>VLOOKUP(B42,Ref!A:D,4,0)</f>
        <v>Billing Support</v>
      </c>
    </row>
    <row r="43" spans="1:7" x14ac:dyDescent="0.25">
      <c r="A43" s="15">
        <v>45784</v>
      </c>
      <c r="B43" s="6">
        <v>11006</v>
      </c>
      <c r="C43" s="6">
        <v>4</v>
      </c>
      <c r="D43" s="10">
        <f>C43/24</f>
        <v>0.16666666666666666</v>
      </c>
      <c r="E43" s="6" t="str">
        <f>VLOOKUP(B43,Ref!A:D,2,0)</f>
        <v>Eshan Desai</v>
      </c>
      <c r="F43" s="6" t="str">
        <f>VLOOKUP(B43,Ref!A:D,3,0)</f>
        <v>Ravi Mehta</v>
      </c>
      <c r="G43" s="6" t="str">
        <f>VLOOKUP(B43,Ref!A:D,4,0)</f>
        <v>Billing Support</v>
      </c>
    </row>
    <row r="44" spans="1:7" x14ac:dyDescent="0.25">
      <c r="A44" s="15">
        <v>45785</v>
      </c>
      <c r="B44" s="6">
        <v>11006</v>
      </c>
      <c r="C44" s="6">
        <v>4</v>
      </c>
      <c r="D44" s="10">
        <f>C44/24</f>
        <v>0.16666666666666666</v>
      </c>
      <c r="E44" s="6" t="str">
        <f>VLOOKUP(B44,Ref!A:D,2,0)</f>
        <v>Eshan Desai</v>
      </c>
      <c r="F44" s="6" t="str">
        <f>VLOOKUP(B44,Ref!A:D,3,0)</f>
        <v>Ravi Mehta</v>
      </c>
      <c r="G44" s="6" t="str">
        <f>VLOOKUP(B44,Ref!A:D,4,0)</f>
        <v>Billing Support</v>
      </c>
    </row>
    <row r="45" spans="1:7" x14ac:dyDescent="0.25">
      <c r="A45" s="15">
        <v>45786</v>
      </c>
      <c r="B45" s="6">
        <v>11006</v>
      </c>
      <c r="C45" s="6">
        <v>3</v>
      </c>
      <c r="D45" s="10">
        <f>C45/24</f>
        <v>0.125</v>
      </c>
      <c r="E45" s="6" t="str">
        <f>VLOOKUP(B45,Ref!A:D,2,0)</f>
        <v>Eshan Desai</v>
      </c>
      <c r="F45" s="6" t="str">
        <f>VLOOKUP(B45,Ref!A:D,3,0)</f>
        <v>Ravi Mehta</v>
      </c>
      <c r="G45" s="6" t="str">
        <f>VLOOKUP(B45,Ref!A:D,4,0)</f>
        <v>Billing Support</v>
      </c>
    </row>
    <row r="46" spans="1:7" x14ac:dyDescent="0.25">
      <c r="A46" s="15">
        <v>45778</v>
      </c>
      <c r="B46" s="6">
        <v>11007</v>
      </c>
      <c r="C46" s="6">
        <v>4</v>
      </c>
      <c r="D46" s="10">
        <f>C46/24</f>
        <v>0.16666666666666666</v>
      </c>
      <c r="E46" s="6" t="str">
        <f>VLOOKUP(B46,Ref!A:D,2,0)</f>
        <v>Farah Khan</v>
      </c>
      <c r="F46" s="6" t="str">
        <f>VLOOKUP(B46,Ref!A:D,3,0)</f>
        <v>Ravi Mehta</v>
      </c>
      <c r="G46" s="6" t="str">
        <f>VLOOKUP(B46,Ref!A:D,4,0)</f>
        <v>Billing Support</v>
      </c>
    </row>
    <row r="47" spans="1:7" x14ac:dyDescent="0.25">
      <c r="A47" s="15">
        <v>45779</v>
      </c>
      <c r="B47" s="6">
        <v>11007</v>
      </c>
      <c r="C47" s="6">
        <v>4</v>
      </c>
      <c r="D47" s="10">
        <f>C47/24</f>
        <v>0.16666666666666666</v>
      </c>
      <c r="E47" s="6" t="str">
        <f>VLOOKUP(B47,Ref!A:D,2,0)</f>
        <v>Farah Khan</v>
      </c>
      <c r="F47" s="6" t="str">
        <f>VLOOKUP(B47,Ref!A:D,3,0)</f>
        <v>Ravi Mehta</v>
      </c>
      <c r="G47" s="6" t="str">
        <f>VLOOKUP(B47,Ref!A:D,4,0)</f>
        <v>Billing Support</v>
      </c>
    </row>
    <row r="48" spans="1:7" x14ac:dyDescent="0.25">
      <c r="A48" s="15">
        <v>45782</v>
      </c>
      <c r="B48" s="6">
        <v>11007</v>
      </c>
      <c r="C48" s="6">
        <v>4</v>
      </c>
      <c r="D48" s="10">
        <f>C48/24</f>
        <v>0.16666666666666666</v>
      </c>
      <c r="E48" s="6" t="str">
        <f>VLOOKUP(B48,Ref!A:D,2,0)</f>
        <v>Farah Khan</v>
      </c>
      <c r="F48" s="6" t="str">
        <f>VLOOKUP(B48,Ref!A:D,3,0)</f>
        <v>Ravi Mehta</v>
      </c>
      <c r="G48" s="6" t="str">
        <f>VLOOKUP(B48,Ref!A:D,4,0)</f>
        <v>Billing Support</v>
      </c>
    </row>
    <row r="49" spans="1:7" x14ac:dyDescent="0.25">
      <c r="A49" s="15">
        <v>45783</v>
      </c>
      <c r="B49" s="6">
        <v>11007</v>
      </c>
      <c r="C49" s="6">
        <v>4</v>
      </c>
      <c r="D49" s="10">
        <f>C49/24</f>
        <v>0.16666666666666666</v>
      </c>
      <c r="E49" s="6" t="str">
        <f>VLOOKUP(B49,Ref!A:D,2,0)</f>
        <v>Farah Khan</v>
      </c>
      <c r="F49" s="6" t="str">
        <f>VLOOKUP(B49,Ref!A:D,3,0)</f>
        <v>Ravi Mehta</v>
      </c>
      <c r="G49" s="6" t="str">
        <f>VLOOKUP(B49,Ref!A:D,4,0)</f>
        <v>Billing Support</v>
      </c>
    </row>
    <row r="50" spans="1:7" x14ac:dyDescent="0.25">
      <c r="A50" s="15">
        <v>45784</v>
      </c>
      <c r="B50" s="6">
        <v>11007</v>
      </c>
      <c r="C50" s="6">
        <v>4</v>
      </c>
      <c r="D50" s="10">
        <f>C50/24</f>
        <v>0.16666666666666666</v>
      </c>
      <c r="E50" s="6" t="str">
        <f>VLOOKUP(B50,Ref!A:D,2,0)</f>
        <v>Farah Khan</v>
      </c>
      <c r="F50" s="6" t="str">
        <f>VLOOKUP(B50,Ref!A:D,3,0)</f>
        <v>Ravi Mehta</v>
      </c>
      <c r="G50" s="6" t="str">
        <f>VLOOKUP(B50,Ref!A:D,4,0)</f>
        <v>Billing Support</v>
      </c>
    </row>
    <row r="51" spans="1:7" x14ac:dyDescent="0.25">
      <c r="A51" s="15">
        <v>45785</v>
      </c>
      <c r="B51" s="6">
        <v>11007</v>
      </c>
      <c r="C51" s="6">
        <v>4</v>
      </c>
      <c r="D51" s="10">
        <f>C51/24</f>
        <v>0.16666666666666666</v>
      </c>
      <c r="E51" s="6" t="str">
        <f>VLOOKUP(B51,Ref!A:D,2,0)</f>
        <v>Farah Khan</v>
      </c>
      <c r="F51" s="6" t="str">
        <f>VLOOKUP(B51,Ref!A:D,3,0)</f>
        <v>Ravi Mehta</v>
      </c>
      <c r="G51" s="6" t="str">
        <f>VLOOKUP(B51,Ref!A:D,4,0)</f>
        <v>Billing Support</v>
      </c>
    </row>
    <row r="52" spans="1:7" x14ac:dyDescent="0.25">
      <c r="A52" s="15">
        <v>45786</v>
      </c>
      <c r="B52" s="6">
        <v>11007</v>
      </c>
      <c r="C52" s="6">
        <v>0.5</v>
      </c>
      <c r="D52" s="10">
        <f>C52/24</f>
        <v>2.0833333333333332E-2</v>
      </c>
      <c r="E52" s="6" t="str">
        <f>VLOOKUP(B52,Ref!A:D,2,0)</f>
        <v>Farah Khan</v>
      </c>
      <c r="F52" s="6" t="str">
        <f>VLOOKUP(B52,Ref!A:D,3,0)</f>
        <v>Ravi Mehta</v>
      </c>
      <c r="G52" s="6" t="str">
        <f>VLOOKUP(B52,Ref!A:D,4,0)</f>
        <v>Billing Support</v>
      </c>
    </row>
    <row r="53" spans="1:7" x14ac:dyDescent="0.25">
      <c r="A53" s="15">
        <v>45778</v>
      </c>
      <c r="B53" s="6">
        <v>11008</v>
      </c>
      <c r="C53" s="6">
        <v>4</v>
      </c>
      <c r="D53" s="10">
        <f>C53/24</f>
        <v>0.16666666666666666</v>
      </c>
      <c r="E53" s="6" t="str">
        <f>VLOOKUP(B53,Ref!A:D,2,0)</f>
        <v>Gaurav Sen</v>
      </c>
      <c r="F53" s="6" t="str">
        <f>VLOOKUP(B53,Ref!A:D,3,0)</f>
        <v>Ravi Mehta</v>
      </c>
      <c r="G53" s="6" t="str">
        <f>VLOOKUP(B53,Ref!A:D,4,0)</f>
        <v>Billing Support</v>
      </c>
    </row>
    <row r="54" spans="1:7" x14ac:dyDescent="0.25">
      <c r="A54" s="15">
        <v>45779</v>
      </c>
      <c r="B54" s="6">
        <v>11008</v>
      </c>
      <c r="C54" s="6">
        <v>4</v>
      </c>
      <c r="D54" s="10">
        <f>C54/24</f>
        <v>0.16666666666666666</v>
      </c>
      <c r="E54" s="6" t="str">
        <f>VLOOKUP(B54,Ref!A:D,2,0)</f>
        <v>Gaurav Sen</v>
      </c>
      <c r="F54" s="6" t="str">
        <f>VLOOKUP(B54,Ref!A:D,3,0)</f>
        <v>Ravi Mehta</v>
      </c>
      <c r="G54" s="6" t="str">
        <f>VLOOKUP(B54,Ref!A:D,4,0)</f>
        <v>Billing Support</v>
      </c>
    </row>
    <row r="55" spans="1:7" x14ac:dyDescent="0.25">
      <c r="A55" s="15">
        <v>45782</v>
      </c>
      <c r="B55" s="6">
        <v>11008</v>
      </c>
      <c r="C55" s="6">
        <v>4</v>
      </c>
      <c r="D55" s="10">
        <f>C55/24</f>
        <v>0.16666666666666666</v>
      </c>
      <c r="E55" s="6" t="str">
        <f>VLOOKUP(B55,Ref!A:D,2,0)</f>
        <v>Gaurav Sen</v>
      </c>
      <c r="F55" s="6" t="str">
        <f>VLOOKUP(B55,Ref!A:D,3,0)</f>
        <v>Ravi Mehta</v>
      </c>
      <c r="G55" s="6" t="str">
        <f>VLOOKUP(B55,Ref!A:D,4,0)</f>
        <v>Billing Support</v>
      </c>
    </row>
    <row r="56" spans="1:7" x14ac:dyDescent="0.25">
      <c r="A56" s="15">
        <v>45783</v>
      </c>
      <c r="B56" s="6">
        <v>11008</v>
      </c>
      <c r="C56" s="6">
        <v>4</v>
      </c>
      <c r="D56" s="10">
        <f>C56/24</f>
        <v>0.16666666666666666</v>
      </c>
      <c r="E56" s="6" t="str">
        <f>VLOOKUP(B56,Ref!A:D,2,0)</f>
        <v>Gaurav Sen</v>
      </c>
      <c r="F56" s="6" t="str">
        <f>VLOOKUP(B56,Ref!A:D,3,0)</f>
        <v>Ravi Mehta</v>
      </c>
      <c r="G56" s="6" t="str">
        <f>VLOOKUP(B56,Ref!A:D,4,0)</f>
        <v>Billing Support</v>
      </c>
    </row>
    <row r="57" spans="1:7" x14ac:dyDescent="0.25">
      <c r="A57" s="15">
        <v>45784</v>
      </c>
      <c r="B57" s="6">
        <v>11008</v>
      </c>
      <c r="C57" s="6">
        <v>2.3000000000000007</v>
      </c>
      <c r="D57" s="10">
        <f>C57/24</f>
        <v>9.5833333333333368E-2</v>
      </c>
      <c r="E57" s="6" t="str">
        <f>VLOOKUP(B57,Ref!A:D,2,0)</f>
        <v>Gaurav Sen</v>
      </c>
      <c r="F57" s="6" t="str">
        <f>VLOOKUP(B57,Ref!A:D,3,0)</f>
        <v>Ravi Mehta</v>
      </c>
      <c r="G57" s="6" t="str">
        <f>VLOOKUP(B57,Ref!A:D,4,0)</f>
        <v>Billing Support</v>
      </c>
    </row>
    <row r="58" spans="1:7" x14ac:dyDescent="0.25">
      <c r="A58" s="15">
        <v>45778</v>
      </c>
      <c r="B58" s="6">
        <v>11009</v>
      </c>
      <c r="C58" s="6">
        <v>4</v>
      </c>
      <c r="D58" s="10">
        <f>C58/24</f>
        <v>0.16666666666666666</v>
      </c>
      <c r="E58" s="6" t="str">
        <f>VLOOKUP(B58,Ref!A:D,2,0)</f>
        <v>Harshita Roy</v>
      </c>
      <c r="F58" s="6" t="str">
        <f>VLOOKUP(B58,Ref!A:D,3,0)</f>
        <v>Ravi Mehta</v>
      </c>
      <c r="G58" s="6" t="str">
        <f>VLOOKUP(B58,Ref!A:D,4,0)</f>
        <v>Billing Support</v>
      </c>
    </row>
    <row r="59" spans="1:7" x14ac:dyDescent="0.25">
      <c r="A59" s="15">
        <v>45779</v>
      </c>
      <c r="B59" s="6">
        <v>11009</v>
      </c>
      <c r="C59" s="6">
        <v>4</v>
      </c>
      <c r="D59" s="10">
        <f>C59/24</f>
        <v>0.16666666666666666</v>
      </c>
      <c r="E59" s="6" t="str">
        <f>VLOOKUP(B59,Ref!A:D,2,0)</f>
        <v>Harshita Roy</v>
      </c>
      <c r="F59" s="6" t="str">
        <f>VLOOKUP(B59,Ref!A:D,3,0)</f>
        <v>Ravi Mehta</v>
      </c>
      <c r="G59" s="6" t="str">
        <f>VLOOKUP(B59,Ref!A:D,4,0)</f>
        <v>Billing Support</v>
      </c>
    </row>
    <row r="60" spans="1:7" x14ac:dyDescent="0.25">
      <c r="A60" s="15">
        <v>45782</v>
      </c>
      <c r="B60" s="6">
        <v>11009</v>
      </c>
      <c r="C60" s="6">
        <v>4</v>
      </c>
      <c r="D60" s="10">
        <f>C60/24</f>
        <v>0.16666666666666666</v>
      </c>
      <c r="E60" s="6" t="str">
        <f>VLOOKUP(B60,Ref!A:D,2,0)</f>
        <v>Harshita Roy</v>
      </c>
      <c r="F60" s="6" t="str">
        <f>VLOOKUP(B60,Ref!A:D,3,0)</f>
        <v>Ravi Mehta</v>
      </c>
      <c r="G60" s="6" t="str">
        <f>VLOOKUP(B60,Ref!A:D,4,0)</f>
        <v>Billing Support</v>
      </c>
    </row>
    <row r="61" spans="1:7" x14ac:dyDescent="0.25">
      <c r="A61" s="15">
        <v>45783</v>
      </c>
      <c r="B61" s="6">
        <v>11009</v>
      </c>
      <c r="C61" s="6">
        <v>4</v>
      </c>
      <c r="D61" s="10">
        <f>C61/24</f>
        <v>0.16666666666666666</v>
      </c>
      <c r="E61" s="6" t="str">
        <f>VLOOKUP(B61,Ref!A:D,2,0)</f>
        <v>Harshita Roy</v>
      </c>
      <c r="F61" s="6" t="str">
        <f>VLOOKUP(B61,Ref!A:D,3,0)</f>
        <v>Ravi Mehta</v>
      </c>
      <c r="G61" s="6" t="str">
        <f>VLOOKUP(B61,Ref!A:D,4,0)</f>
        <v>Billing Support</v>
      </c>
    </row>
    <row r="62" spans="1:7" x14ac:dyDescent="0.25">
      <c r="A62" s="15">
        <v>45784</v>
      </c>
      <c r="B62" s="6">
        <v>11009</v>
      </c>
      <c r="C62" s="6">
        <v>4</v>
      </c>
      <c r="D62" s="10">
        <f>C62/24</f>
        <v>0.16666666666666666</v>
      </c>
      <c r="E62" s="6" t="str">
        <f>VLOOKUP(B62,Ref!A:D,2,0)</f>
        <v>Harshita Roy</v>
      </c>
      <c r="F62" s="6" t="str">
        <f>VLOOKUP(B62,Ref!A:D,3,0)</f>
        <v>Ravi Mehta</v>
      </c>
      <c r="G62" s="6" t="str">
        <f>VLOOKUP(B62,Ref!A:D,4,0)</f>
        <v>Billing Support</v>
      </c>
    </row>
    <row r="63" spans="1:7" x14ac:dyDescent="0.25">
      <c r="A63" s="15">
        <v>45778</v>
      </c>
      <c r="B63" s="6">
        <v>11010</v>
      </c>
      <c r="C63" s="6">
        <v>4</v>
      </c>
      <c r="D63" s="10">
        <f>C63/24</f>
        <v>0.16666666666666666</v>
      </c>
      <c r="E63" s="6" t="str">
        <f>VLOOKUP(B63,Ref!A:D,2,0)</f>
        <v>Ishaan Taneja</v>
      </c>
      <c r="F63" s="6" t="str">
        <f>VLOOKUP(B63,Ref!A:D,3,0)</f>
        <v>Ravi Mehta</v>
      </c>
      <c r="G63" s="6" t="str">
        <f>VLOOKUP(B63,Ref!A:D,4,0)</f>
        <v>Billing Support</v>
      </c>
    </row>
    <row r="64" spans="1:7" x14ac:dyDescent="0.25">
      <c r="A64" s="15">
        <v>45779</v>
      </c>
      <c r="B64" s="6">
        <v>11010</v>
      </c>
      <c r="C64" s="6">
        <v>4</v>
      </c>
      <c r="D64" s="10">
        <f>C64/24</f>
        <v>0.16666666666666666</v>
      </c>
      <c r="E64" s="6" t="str">
        <f>VLOOKUP(B64,Ref!A:D,2,0)</f>
        <v>Ishaan Taneja</v>
      </c>
      <c r="F64" s="6" t="str">
        <f>VLOOKUP(B64,Ref!A:D,3,0)</f>
        <v>Ravi Mehta</v>
      </c>
      <c r="G64" s="6" t="str">
        <f>VLOOKUP(B64,Ref!A:D,4,0)</f>
        <v>Billing Support</v>
      </c>
    </row>
    <row r="65" spans="1:7" x14ac:dyDescent="0.25">
      <c r="A65" s="15">
        <v>45782</v>
      </c>
      <c r="B65" s="6">
        <v>11010</v>
      </c>
      <c r="C65" s="6">
        <v>4</v>
      </c>
      <c r="D65" s="10">
        <f>C65/24</f>
        <v>0.16666666666666666</v>
      </c>
      <c r="E65" s="6" t="str">
        <f>VLOOKUP(B65,Ref!A:D,2,0)</f>
        <v>Ishaan Taneja</v>
      </c>
      <c r="F65" s="6" t="str">
        <f>VLOOKUP(B65,Ref!A:D,3,0)</f>
        <v>Ravi Mehta</v>
      </c>
      <c r="G65" s="6" t="str">
        <f>VLOOKUP(B65,Ref!A:D,4,0)</f>
        <v>Billing Support</v>
      </c>
    </row>
    <row r="66" spans="1:7" x14ac:dyDescent="0.25">
      <c r="A66" s="15">
        <v>45783</v>
      </c>
      <c r="B66" s="6">
        <v>11010</v>
      </c>
      <c r="C66" s="6">
        <v>4</v>
      </c>
      <c r="D66" s="10">
        <f>C66/24</f>
        <v>0.16666666666666666</v>
      </c>
      <c r="E66" s="6" t="str">
        <f>VLOOKUP(B66,Ref!A:D,2,0)</f>
        <v>Ishaan Taneja</v>
      </c>
      <c r="F66" s="6" t="str">
        <f>VLOOKUP(B66,Ref!A:D,3,0)</f>
        <v>Ravi Mehta</v>
      </c>
      <c r="G66" s="6" t="str">
        <f>VLOOKUP(B66,Ref!A:D,4,0)</f>
        <v>Billing Support</v>
      </c>
    </row>
    <row r="67" spans="1:7" x14ac:dyDescent="0.25">
      <c r="A67" s="15">
        <v>45784</v>
      </c>
      <c r="B67" s="6">
        <v>11010</v>
      </c>
      <c r="C67" s="6">
        <v>4</v>
      </c>
      <c r="D67" s="10">
        <f>C67/24</f>
        <v>0.16666666666666666</v>
      </c>
      <c r="E67" s="6" t="str">
        <f>VLOOKUP(B67,Ref!A:D,2,0)</f>
        <v>Ishaan Taneja</v>
      </c>
      <c r="F67" s="6" t="str">
        <f>VLOOKUP(B67,Ref!A:D,3,0)</f>
        <v>Ravi Mehta</v>
      </c>
      <c r="G67" s="6" t="str">
        <f>VLOOKUP(B67,Ref!A:D,4,0)</f>
        <v>Billing Support</v>
      </c>
    </row>
    <row r="68" spans="1:7" x14ac:dyDescent="0.25">
      <c r="A68" s="15">
        <v>45785</v>
      </c>
      <c r="B68" s="6">
        <v>11010</v>
      </c>
      <c r="C68" s="6">
        <v>4</v>
      </c>
      <c r="D68" s="10">
        <f>C68/24</f>
        <v>0.16666666666666666</v>
      </c>
      <c r="E68" s="6" t="str">
        <f>VLOOKUP(B68,Ref!A:D,2,0)</f>
        <v>Ishaan Taneja</v>
      </c>
      <c r="F68" s="6" t="str">
        <f>VLOOKUP(B68,Ref!A:D,3,0)</f>
        <v>Ravi Mehta</v>
      </c>
      <c r="G68" s="6" t="str">
        <f>VLOOKUP(B68,Ref!A:D,4,0)</f>
        <v>Billing Support</v>
      </c>
    </row>
    <row r="69" spans="1:7" x14ac:dyDescent="0.25">
      <c r="A69" s="15">
        <v>45786</v>
      </c>
      <c r="B69" s="6">
        <v>11010</v>
      </c>
      <c r="C69" s="6">
        <v>1.3000000000000007</v>
      </c>
      <c r="D69" s="10">
        <f>C69/24</f>
        <v>5.4166666666666696E-2</v>
      </c>
      <c r="E69" s="6" t="str">
        <f>VLOOKUP(B69,Ref!A:D,2,0)</f>
        <v>Ishaan Taneja</v>
      </c>
      <c r="F69" s="6" t="str">
        <f>VLOOKUP(B69,Ref!A:D,3,0)</f>
        <v>Ravi Mehta</v>
      </c>
      <c r="G69" s="6" t="str">
        <f>VLOOKUP(B69,Ref!A:D,4,0)</f>
        <v>Billing Support</v>
      </c>
    </row>
    <row r="70" spans="1:7" x14ac:dyDescent="0.25">
      <c r="A70" s="15">
        <v>45778</v>
      </c>
      <c r="B70" s="6">
        <v>11011</v>
      </c>
      <c r="C70" s="6">
        <v>4</v>
      </c>
      <c r="D70" s="10">
        <f>C70/24</f>
        <v>0.16666666666666666</v>
      </c>
      <c r="E70" s="6" t="str">
        <f>VLOOKUP(B70,Ref!A:D,2,0)</f>
        <v>Jaya Iyer</v>
      </c>
      <c r="F70" s="6" t="str">
        <f>VLOOKUP(B70,Ref!A:D,3,0)</f>
        <v>Nisha Sharma</v>
      </c>
      <c r="G70" s="6" t="str">
        <f>VLOOKUP(B70,Ref!A:D,4,0)</f>
        <v>Chat Support</v>
      </c>
    </row>
    <row r="71" spans="1:7" x14ac:dyDescent="0.25">
      <c r="A71" s="15">
        <v>45779</v>
      </c>
      <c r="B71" s="6">
        <v>11011</v>
      </c>
      <c r="C71" s="6">
        <v>4</v>
      </c>
      <c r="D71" s="10">
        <f>C71/24</f>
        <v>0.16666666666666666</v>
      </c>
      <c r="E71" s="6" t="str">
        <f>VLOOKUP(B71,Ref!A:D,2,0)</f>
        <v>Jaya Iyer</v>
      </c>
      <c r="F71" s="6" t="str">
        <f>VLOOKUP(B71,Ref!A:D,3,0)</f>
        <v>Nisha Sharma</v>
      </c>
      <c r="G71" s="6" t="str">
        <f>VLOOKUP(B71,Ref!A:D,4,0)</f>
        <v>Chat Support</v>
      </c>
    </row>
    <row r="72" spans="1:7" x14ac:dyDescent="0.25">
      <c r="A72" s="15">
        <v>45782</v>
      </c>
      <c r="B72" s="6">
        <v>11011</v>
      </c>
      <c r="C72" s="6">
        <v>4</v>
      </c>
      <c r="D72" s="10">
        <f>C72/24</f>
        <v>0.16666666666666666</v>
      </c>
      <c r="E72" s="6" t="str">
        <f>VLOOKUP(B72,Ref!A:D,2,0)</f>
        <v>Jaya Iyer</v>
      </c>
      <c r="F72" s="6" t="str">
        <f>VLOOKUP(B72,Ref!A:D,3,0)</f>
        <v>Nisha Sharma</v>
      </c>
      <c r="G72" s="6" t="str">
        <f>VLOOKUP(B72,Ref!A:D,4,0)</f>
        <v>Chat Support</v>
      </c>
    </row>
    <row r="73" spans="1:7" x14ac:dyDescent="0.25">
      <c r="A73" s="15">
        <v>45783</v>
      </c>
      <c r="B73" s="6">
        <v>11011</v>
      </c>
      <c r="C73" s="6">
        <v>4</v>
      </c>
      <c r="D73" s="10">
        <f>C73/24</f>
        <v>0.16666666666666666</v>
      </c>
      <c r="E73" s="6" t="str">
        <f>VLOOKUP(B73,Ref!A:D,2,0)</f>
        <v>Jaya Iyer</v>
      </c>
      <c r="F73" s="6" t="str">
        <f>VLOOKUP(B73,Ref!A:D,3,0)</f>
        <v>Nisha Sharma</v>
      </c>
      <c r="G73" s="6" t="str">
        <f>VLOOKUP(B73,Ref!A:D,4,0)</f>
        <v>Chat Support</v>
      </c>
    </row>
    <row r="74" spans="1:7" x14ac:dyDescent="0.25">
      <c r="A74" s="15">
        <v>45784</v>
      </c>
      <c r="B74" s="6">
        <v>11011</v>
      </c>
      <c r="C74" s="6">
        <v>4</v>
      </c>
      <c r="D74" s="10">
        <f>C74/24</f>
        <v>0.16666666666666666</v>
      </c>
      <c r="E74" s="6" t="str">
        <f>VLOOKUP(B74,Ref!A:D,2,0)</f>
        <v>Jaya Iyer</v>
      </c>
      <c r="F74" s="6" t="str">
        <f>VLOOKUP(B74,Ref!A:D,3,0)</f>
        <v>Nisha Sharma</v>
      </c>
      <c r="G74" s="6" t="str">
        <f>VLOOKUP(B74,Ref!A:D,4,0)</f>
        <v>Chat Support</v>
      </c>
    </row>
    <row r="75" spans="1:7" x14ac:dyDescent="0.25">
      <c r="A75" s="15">
        <v>45785</v>
      </c>
      <c r="B75" s="6">
        <v>11011</v>
      </c>
      <c r="C75" s="6">
        <v>4</v>
      </c>
      <c r="D75" s="10">
        <f>C75/24</f>
        <v>0.16666666666666666</v>
      </c>
      <c r="E75" s="6" t="str">
        <f>VLOOKUP(B75,Ref!A:D,2,0)</f>
        <v>Jaya Iyer</v>
      </c>
      <c r="F75" s="6" t="str">
        <f>VLOOKUP(B75,Ref!A:D,3,0)</f>
        <v>Nisha Sharma</v>
      </c>
      <c r="G75" s="6" t="str">
        <f>VLOOKUP(B75,Ref!A:D,4,0)</f>
        <v>Chat Support</v>
      </c>
    </row>
    <row r="76" spans="1:7" x14ac:dyDescent="0.25">
      <c r="A76" s="15">
        <v>45786</v>
      </c>
      <c r="B76" s="6">
        <v>11011</v>
      </c>
      <c r="C76" s="6">
        <v>4</v>
      </c>
      <c r="D76" s="10">
        <f>C76/24</f>
        <v>0.16666666666666666</v>
      </c>
      <c r="E76" s="6" t="str">
        <f>VLOOKUP(B76,Ref!A:D,2,0)</f>
        <v>Jaya Iyer</v>
      </c>
      <c r="F76" s="6" t="str">
        <f>VLOOKUP(B76,Ref!A:D,3,0)</f>
        <v>Nisha Sharma</v>
      </c>
      <c r="G76" s="6" t="str">
        <f>VLOOKUP(B76,Ref!A:D,4,0)</f>
        <v>Chat Support</v>
      </c>
    </row>
    <row r="77" spans="1:7" x14ac:dyDescent="0.25">
      <c r="A77" s="15">
        <v>45789</v>
      </c>
      <c r="B77" s="6">
        <v>11011</v>
      </c>
      <c r="C77" s="6">
        <v>3</v>
      </c>
      <c r="D77" s="10">
        <f>C77/24</f>
        <v>0.125</v>
      </c>
      <c r="E77" s="6" t="str">
        <f>VLOOKUP(B77,Ref!A:D,2,0)</f>
        <v>Jaya Iyer</v>
      </c>
      <c r="F77" s="6" t="str">
        <f>VLOOKUP(B77,Ref!A:D,3,0)</f>
        <v>Nisha Sharma</v>
      </c>
      <c r="G77" s="6" t="str">
        <f>VLOOKUP(B77,Ref!A:D,4,0)</f>
        <v>Chat Support</v>
      </c>
    </row>
    <row r="78" spans="1:7" x14ac:dyDescent="0.25">
      <c r="A78" s="15">
        <v>45778</v>
      </c>
      <c r="B78" s="6">
        <v>11012</v>
      </c>
      <c r="C78" s="6">
        <v>4</v>
      </c>
      <c r="D78" s="10">
        <f>C78/24</f>
        <v>0.16666666666666666</v>
      </c>
      <c r="E78" s="6" t="str">
        <f>VLOOKUP(B78,Ref!A:D,2,0)</f>
        <v>Kabir Gupta</v>
      </c>
      <c r="F78" s="6" t="str">
        <f>VLOOKUP(B78,Ref!A:D,3,0)</f>
        <v>Nisha Sharma</v>
      </c>
      <c r="G78" s="6" t="str">
        <f>VLOOKUP(B78,Ref!A:D,4,0)</f>
        <v>Chat Support</v>
      </c>
    </row>
    <row r="79" spans="1:7" x14ac:dyDescent="0.25">
      <c r="A79" s="15">
        <v>45779</v>
      </c>
      <c r="B79" s="6">
        <v>11012</v>
      </c>
      <c r="C79" s="6">
        <v>4</v>
      </c>
      <c r="D79" s="10">
        <f>C79/24</f>
        <v>0.16666666666666666</v>
      </c>
      <c r="E79" s="6" t="str">
        <f>VLOOKUP(B79,Ref!A:D,2,0)</f>
        <v>Kabir Gupta</v>
      </c>
      <c r="F79" s="6" t="str">
        <f>VLOOKUP(B79,Ref!A:D,3,0)</f>
        <v>Nisha Sharma</v>
      </c>
      <c r="G79" s="6" t="str">
        <f>VLOOKUP(B79,Ref!A:D,4,0)</f>
        <v>Chat Support</v>
      </c>
    </row>
    <row r="80" spans="1:7" x14ac:dyDescent="0.25">
      <c r="A80" s="15">
        <v>45782</v>
      </c>
      <c r="B80" s="6">
        <v>11012</v>
      </c>
      <c r="C80" s="6">
        <v>4</v>
      </c>
      <c r="D80" s="10">
        <f>C80/24</f>
        <v>0.16666666666666666</v>
      </c>
      <c r="E80" s="6" t="str">
        <f>VLOOKUP(B80,Ref!A:D,2,0)</f>
        <v>Kabir Gupta</v>
      </c>
      <c r="F80" s="6" t="str">
        <f>VLOOKUP(B80,Ref!A:D,3,0)</f>
        <v>Nisha Sharma</v>
      </c>
      <c r="G80" s="6" t="str">
        <f>VLOOKUP(B80,Ref!A:D,4,0)</f>
        <v>Chat Support</v>
      </c>
    </row>
    <row r="81" spans="1:7" x14ac:dyDescent="0.25">
      <c r="A81" s="15">
        <v>45783</v>
      </c>
      <c r="B81" s="6">
        <v>11012</v>
      </c>
      <c r="C81" s="6">
        <v>4</v>
      </c>
      <c r="D81" s="10">
        <f>C81/24</f>
        <v>0.16666666666666666</v>
      </c>
      <c r="E81" s="6" t="str">
        <f>VLOOKUP(B81,Ref!A:D,2,0)</f>
        <v>Kabir Gupta</v>
      </c>
      <c r="F81" s="6" t="str">
        <f>VLOOKUP(B81,Ref!A:D,3,0)</f>
        <v>Nisha Sharma</v>
      </c>
      <c r="G81" s="6" t="str">
        <f>VLOOKUP(B81,Ref!A:D,4,0)</f>
        <v>Chat Support</v>
      </c>
    </row>
    <row r="82" spans="1:7" x14ac:dyDescent="0.25">
      <c r="A82" s="15">
        <v>45784</v>
      </c>
      <c r="B82" s="6">
        <v>11012</v>
      </c>
      <c r="C82" s="6">
        <v>4</v>
      </c>
      <c r="D82" s="10">
        <f>C82/24</f>
        <v>0.16666666666666666</v>
      </c>
      <c r="E82" s="6" t="str">
        <f>VLOOKUP(B82,Ref!A:D,2,0)</f>
        <v>Kabir Gupta</v>
      </c>
      <c r="F82" s="6" t="str">
        <f>VLOOKUP(B82,Ref!A:D,3,0)</f>
        <v>Nisha Sharma</v>
      </c>
      <c r="G82" s="6" t="str">
        <f>VLOOKUP(B82,Ref!A:D,4,0)</f>
        <v>Chat Support</v>
      </c>
    </row>
    <row r="83" spans="1:7" x14ac:dyDescent="0.25">
      <c r="A83" s="15">
        <v>45785</v>
      </c>
      <c r="B83" s="6">
        <v>11012</v>
      </c>
      <c r="C83" s="6">
        <v>4</v>
      </c>
      <c r="D83" s="10">
        <f>C83/24</f>
        <v>0.16666666666666666</v>
      </c>
      <c r="E83" s="6" t="str">
        <f>VLOOKUP(B83,Ref!A:D,2,0)</f>
        <v>Kabir Gupta</v>
      </c>
      <c r="F83" s="6" t="str">
        <f>VLOOKUP(B83,Ref!A:D,3,0)</f>
        <v>Nisha Sharma</v>
      </c>
      <c r="G83" s="6" t="str">
        <f>VLOOKUP(B83,Ref!A:D,4,0)</f>
        <v>Chat Support</v>
      </c>
    </row>
    <row r="84" spans="1:7" x14ac:dyDescent="0.25">
      <c r="A84" s="15">
        <v>45786</v>
      </c>
      <c r="B84" s="6">
        <v>11012</v>
      </c>
      <c r="C84" s="6">
        <v>4</v>
      </c>
      <c r="D84" s="10">
        <f>C84/24</f>
        <v>0.16666666666666666</v>
      </c>
      <c r="E84" s="6" t="str">
        <f>VLOOKUP(B84,Ref!A:D,2,0)</f>
        <v>Kabir Gupta</v>
      </c>
      <c r="F84" s="6" t="str">
        <f>VLOOKUP(B84,Ref!A:D,3,0)</f>
        <v>Nisha Sharma</v>
      </c>
      <c r="G84" s="6" t="str">
        <f>VLOOKUP(B84,Ref!A:D,4,0)</f>
        <v>Chat Support</v>
      </c>
    </row>
    <row r="85" spans="1:7" x14ac:dyDescent="0.25">
      <c r="A85" s="15">
        <v>45789</v>
      </c>
      <c r="B85" s="6">
        <v>11012</v>
      </c>
      <c r="C85" s="6">
        <v>4</v>
      </c>
      <c r="D85" s="10">
        <f>C85/24</f>
        <v>0.16666666666666666</v>
      </c>
      <c r="E85" s="6" t="str">
        <f>VLOOKUP(B85,Ref!A:D,2,0)</f>
        <v>Kabir Gupta</v>
      </c>
      <c r="F85" s="6" t="str">
        <f>VLOOKUP(B85,Ref!A:D,3,0)</f>
        <v>Nisha Sharma</v>
      </c>
      <c r="G85" s="6" t="str">
        <f>VLOOKUP(B85,Ref!A:D,4,0)</f>
        <v>Chat Support</v>
      </c>
    </row>
    <row r="86" spans="1:7" x14ac:dyDescent="0.25">
      <c r="A86" s="15">
        <v>45790</v>
      </c>
      <c r="B86" s="6">
        <v>11012</v>
      </c>
      <c r="C86" s="6">
        <v>4</v>
      </c>
      <c r="D86" s="10">
        <f>C86/24</f>
        <v>0.16666666666666666</v>
      </c>
      <c r="E86" s="6" t="str">
        <f>VLOOKUP(B86,Ref!A:D,2,0)</f>
        <v>Kabir Gupta</v>
      </c>
      <c r="F86" s="6" t="str">
        <f>VLOOKUP(B86,Ref!A:D,3,0)</f>
        <v>Nisha Sharma</v>
      </c>
      <c r="G86" s="6" t="str">
        <f>VLOOKUP(B86,Ref!A:D,4,0)</f>
        <v>Chat Support</v>
      </c>
    </row>
    <row r="87" spans="1:7" x14ac:dyDescent="0.25">
      <c r="A87" s="15">
        <v>45791</v>
      </c>
      <c r="B87" s="6">
        <v>11012</v>
      </c>
      <c r="C87" s="6">
        <v>2</v>
      </c>
      <c r="D87" s="10">
        <f>C87/24</f>
        <v>8.3333333333333329E-2</v>
      </c>
      <c r="E87" s="6" t="str">
        <f>VLOOKUP(B87,Ref!A:D,2,0)</f>
        <v>Kabir Gupta</v>
      </c>
      <c r="F87" s="6" t="str">
        <f>VLOOKUP(B87,Ref!A:D,3,0)</f>
        <v>Nisha Sharma</v>
      </c>
      <c r="G87" s="6" t="str">
        <f>VLOOKUP(B87,Ref!A:D,4,0)</f>
        <v>Chat Support</v>
      </c>
    </row>
    <row r="88" spans="1:7" x14ac:dyDescent="0.25">
      <c r="A88" s="15">
        <v>45778</v>
      </c>
      <c r="B88" s="6">
        <v>11013</v>
      </c>
      <c r="C88" s="6">
        <v>4</v>
      </c>
      <c r="D88" s="10">
        <f>C88/24</f>
        <v>0.16666666666666666</v>
      </c>
      <c r="E88" s="6" t="str">
        <f>VLOOKUP(B88,Ref!A:D,2,0)</f>
        <v>Lakshmi Nair</v>
      </c>
      <c r="F88" s="6" t="str">
        <f>VLOOKUP(B88,Ref!A:D,3,0)</f>
        <v>Nisha Sharma</v>
      </c>
      <c r="G88" s="6" t="str">
        <f>VLOOKUP(B88,Ref!A:D,4,0)</f>
        <v>Chat Support</v>
      </c>
    </row>
    <row r="89" spans="1:7" x14ac:dyDescent="0.25">
      <c r="A89" s="15">
        <v>45779</v>
      </c>
      <c r="B89" s="6">
        <v>11013</v>
      </c>
      <c r="C89" s="6">
        <v>4</v>
      </c>
      <c r="D89" s="10">
        <f>C89/24</f>
        <v>0.16666666666666666</v>
      </c>
      <c r="E89" s="6" t="str">
        <f>VLOOKUP(B89,Ref!A:D,2,0)</f>
        <v>Lakshmi Nair</v>
      </c>
      <c r="F89" s="6" t="str">
        <f>VLOOKUP(B89,Ref!A:D,3,0)</f>
        <v>Nisha Sharma</v>
      </c>
      <c r="G89" s="6" t="str">
        <f>VLOOKUP(B89,Ref!A:D,4,0)</f>
        <v>Chat Support</v>
      </c>
    </row>
    <row r="90" spans="1:7" x14ac:dyDescent="0.25">
      <c r="A90" s="15">
        <v>45782</v>
      </c>
      <c r="B90" s="6">
        <v>11013</v>
      </c>
      <c r="C90" s="6">
        <v>4</v>
      </c>
      <c r="D90" s="10">
        <f>C90/24</f>
        <v>0.16666666666666666</v>
      </c>
      <c r="E90" s="6" t="str">
        <f>VLOOKUP(B90,Ref!A:D,2,0)</f>
        <v>Lakshmi Nair</v>
      </c>
      <c r="F90" s="6" t="str">
        <f>VLOOKUP(B90,Ref!A:D,3,0)</f>
        <v>Nisha Sharma</v>
      </c>
      <c r="G90" s="6" t="str">
        <f>VLOOKUP(B90,Ref!A:D,4,0)</f>
        <v>Chat Support</v>
      </c>
    </row>
    <row r="91" spans="1:7" x14ac:dyDescent="0.25">
      <c r="A91" s="15">
        <v>45783</v>
      </c>
      <c r="B91" s="6">
        <v>11013</v>
      </c>
      <c r="C91" s="6">
        <v>4</v>
      </c>
      <c r="D91" s="10">
        <f>C91/24</f>
        <v>0.16666666666666666</v>
      </c>
      <c r="E91" s="6" t="str">
        <f>VLOOKUP(B91,Ref!A:D,2,0)</f>
        <v>Lakshmi Nair</v>
      </c>
      <c r="F91" s="6" t="str">
        <f>VLOOKUP(B91,Ref!A:D,3,0)</f>
        <v>Nisha Sharma</v>
      </c>
      <c r="G91" s="6" t="str">
        <f>VLOOKUP(B91,Ref!A:D,4,0)</f>
        <v>Chat Support</v>
      </c>
    </row>
    <row r="92" spans="1:7" x14ac:dyDescent="0.25">
      <c r="A92" s="15">
        <v>45784</v>
      </c>
      <c r="B92" s="6">
        <v>11013</v>
      </c>
      <c r="C92" s="6">
        <v>4</v>
      </c>
      <c r="D92" s="10">
        <f>C92/24</f>
        <v>0.16666666666666666</v>
      </c>
      <c r="E92" s="6" t="str">
        <f>VLOOKUP(B92,Ref!A:D,2,0)</f>
        <v>Lakshmi Nair</v>
      </c>
      <c r="F92" s="6" t="str">
        <f>VLOOKUP(B92,Ref!A:D,3,0)</f>
        <v>Nisha Sharma</v>
      </c>
      <c r="G92" s="6" t="str">
        <f>VLOOKUP(B92,Ref!A:D,4,0)</f>
        <v>Chat Support</v>
      </c>
    </row>
    <row r="93" spans="1:7" x14ac:dyDescent="0.25">
      <c r="A93" s="15">
        <v>45785</v>
      </c>
      <c r="B93" s="6">
        <v>11013</v>
      </c>
      <c r="C93" s="6">
        <v>4</v>
      </c>
      <c r="D93" s="10">
        <f>C93/24</f>
        <v>0.16666666666666666</v>
      </c>
      <c r="E93" s="6" t="str">
        <f>VLOOKUP(B93,Ref!A:D,2,0)</f>
        <v>Lakshmi Nair</v>
      </c>
      <c r="F93" s="6" t="str">
        <f>VLOOKUP(B93,Ref!A:D,3,0)</f>
        <v>Nisha Sharma</v>
      </c>
      <c r="G93" s="6" t="str">
        <f>VLOOKUP(B93,Ref!A:D,4,0)</f>
        <v>Chat Support</v>
      </c>
    </row>
    <row r="94" spans="1:7" x14ac:dyDescent="0.25">
      <c r="A94" s="15">
        <v>45786</v>
      </c>
      <c r="B94" s="6">
        <v>11013</v>
      </c>
      <c r="C94" s="6">
        <v>4</v>
      </c>
      <c r="D94" s="10">
        <f>C94/24</f>
        <v>0.16666666666666666</v>
      </c>
      <c r="E94" s="6" t="str">
        <f>VLOOKUP(B94,Ref!A:D,2,0)</f>
        <v>Lakshmi Nair</v>
      </c>
      <c r="F94" s="6" t="str">
        <f>VLOOKUP(B94,Ref!A:D,3,0)</f>
        <v>Nisha Sharma</v>
      </c>
      <c r="G94" s="6" t="str">
        <f>VLOOKUP(B94,Ref!A:D,4,0)</f>
        <v>Chat Support</v>
      </c>
    </row>
    <row r="95" spans="1:7" x14ac:dyDescent="0.25">
      <c r="A95" s="15">
        <v>45778</v>
      </c>
      <c r="B95" s="6">
        <v>11014</v>
      </c>
      <c r="C95" s="6">
        <v>4</v>
      </c>
      <c r="D95" s="10">
        <f>C95/24</f>
        <v>0.16666666666666666</v>
      </c>
      <c r="E95" s="6" t="str">
        <f>VLOOKUP(B95,Ref!A:D,2,0)</f>
        <v>Manav Shah</v>
      </c>
      <c r="F95" s="6" t="str">
        <f>VLOOKUP(B95,Ref!A:D,3,0)</f>
        <v>Nisha Sharma</v>
      </c>
      <c r="G95" s="6" t="str">
        <f>VLOOKUP(B95,Ref!A:D,4,0)</f>
        <v>Chat Support</v>
      </c>
    </row>
    <row r="96" spans="1:7" x14ac:dyDescent="0.25">
      <c r="A96" s="15">
        <v>45779</v>
      </c>
      <c r="B96" s="6">
        <v>11014</v>
      </c>
      <c r="C96" s="6">
        <v>4</v>
      </c>
      <c r="D96" s="10">
        <f>C96/24</f>
        <v>0.16666666666666666</v>
      </c>
      <c r="E96" s="6" t="str">
        <f>VLOOKUP(B96,Ref!A:D,2,0)</f>
        <v>Manav Shah</v>
      </c>
      <c r="F96" s="6" t="str">
        <f>VLOOKUP(B96,Ref!A:D,3,0)</f>
        <v>Nisha Sharma</v>
      </c>
      <c r="G96" s="6" t="str">
        <f>VLOOKUP(B96,Ref!A:D,4,0)</f>
        <v>Chat Support</v>
      </c>
    </row>
    <row r="97" spans="1:7" x14ac:dyDescent="0.25">
      <c r="A97" s="15">
        <v>45782</v>
      </c>
      <c r="B97" s="6">
        <v>11014</v>
      </c>
      <c r="C97" s="6">
        <v>4</v>
      </c>
      <c r="D97" s="10">
        <f>C97/24</f>
        <v>0.16666666666666666</v>
      </c>
      <c r="E97" s="6" t="str">
        <f>VLOOKUP(B97,Ref!A:D,2,0)</f>
        <v>Manav Shah</v>
      </c>
      <c r="F97" s="6" t="str">
        <f>VLOOKUP(B97,Ref!A:D,3,0)</f>
        <v>Nisha Sharma</v>
      </c>
      <c r="G97" s="6" t="str">
        <f>VLOOKUP(B97,Ref!A:D,4,0)</f>
        <v>Chat Support</v>
      </c>
    </row>
    <row r="98" spans="1:7" x14ac:dyDescent="0.25">
      <c r="A98" s="15">
        <v>45783</v>
      </c>
      <c r="B98" s="6">
        <v>11014</v>
      </c>
      <c r="C98" s="6">
        <v>4</v>
      </c>
      <c r="D98" s="10">
        <f>C98/24</f>
        <v>0.16666666666666666</v>
      </c>
      <c r="E98" s="6" t="str">
        <f>VLOOKUP(B98,Ref!A:D,2,0)</f>
        <v>Manav Shah</v>
      </c>
      <c r="F98" s="6" t="str">
        <f>VLOOKUP(B98,Ref!A:D,3,0)</f>
        <v>Nisha Sharma</v>
      </c>
      <c r="G98" s="6" t="str">
        <f>VLOOKUP(B98,Ref!A:D,4,0)</f>
        <v>Chat Support</v>
      </c>
    </row>
    <row r="99" spans="1:7" x14ac:dyDescent="0.25">
      <c r="A99" s="15">
        <v>45784</v>
      </c>
      <c r="B99" s="6">
        <v>11014</v>
      </c>
      <c r="C99" s="6">
        <v>3</v>
      </c>
      <c r="D99" s="10">
        <f>C99/24</f>
        <v>0.125</v>
      </c>
      <c r="E99" s="6" t="str">
        <f>VLOOKUP(B99,Ref!A:D,2,0)</f>
        <v>Manav Shah</v>
      </c>
      <c r="F99" s="6" t="str">
        <f>VLOOKUP(B99,Ref!A:D,3,0)</f>
        <v>Nisha Sharma</v>
      </c>
      <c r="G99" s="6" t="str">
        <f>VLOOKUP(B99,Ref!A:D,4,0)</f>
        <v>Chat Support</v>
      </c>
    </row>
    <row r="100" spans="1:7" x14ac:dyDescent="0.25">
      <c r="A100" s="15">
        <v>45778</v>
      </c>
      <c r="B100" s="6">
        <v>11015</v>
      </c>
      <c r="C100" s="6">
        <v>4</v>
      </c>
      <c r="D100" s="10">
        <f>C100/24</f>
        <v>0.16666666666666666</v>
      </c>
      <c r="E100" s="6" t="str">
        <f>VLOOKUP(B100,Ref!A:D,2,0)</f>
        <v>Neha Soni</v>
      </c>
      <c r="F100" s="6" t="str">
        <f>VLOOKUP(B100,Ref!A:D,3,0)</f>
        <v>Nisha Sharma</v>
      </c>
      <c r="G100" s="6" t="str">
        <f>VLOOKUP(B100,Ref!A:D,4,0)</f>
        <v>Chat Support</v>
      </c>
    </row>
    <row r="101" spans="1:7" x14ac:dyDescent="0.25">
      <c r="A101" s="15">
        <v>45779</v>
      </c>
      <c r="B101" s="6">
        <v>11015</v>
      </c>
      <c r="C101" s="6">
        <v>4</v>
      </c>
      <c r="D101" s="10">
        <f>C101/24</f>
        <v>0.16666666666666666</v>
      </c>
      <c r="E101" s="6" t="str">
        <f>VLOOKUP(B101,Ref!A:D,2,0)</f>
        <v>Neha Soni</v>
      </c>
      <c r="F101" s="6" t="str">
        <f>VLOOKUP(B101,Ref!A:D,3,0)</f>
        <v>Nisha Sharma</v>
      </c>
      <c r="G101" s="6" t="str">
        <f>VLOOKUP(B101,Ref!A:D,4,0)</f>
        <v>Chat Support</v>
      </c>
    </row>
    <row r="102" spans="1:7" x14ac:dyDescent="0.25">
      <c r="A102" s="15">
        <v>45782</v>
      </c>
      <c r="B102" s="6">
        <v>11015</v>
      </c>
      <c r="C102" s="6">
        <v>4</v>
      </c>
      <c r="D102" s="10">
        <f>C102/24</f>
        <v>0.16666666666666666</v>
      </c>
      <c r="E102" s="6" t="str">
        <f>VLOOKUP(B102,Ref!A:D,2,0)</f>
        <v>Neha Soni</v>
      </c>
      <c r="F102" s="6" t="str">
        <f>VLOOKUP(B102,Ref!A:D,3,0)</f>
        <v>Nisha Sharma</v>
      </c>
      <c r="G102" s="6" t="str">
        <f>VLOOKUP(B102,Ref!A:D,4,0)</f>
        <v>Chat Support</v>
      </c>
    </row>
    <row r="103" spans="1:7" x14ac:dyDescent="0.25">
      <c r="A103" s="15">
        <v>45783</v>
      </c>
      <c r="B103" s="6">
        <v>11015</v>
      </c>
      <c r="C103" s="6">
        <v>4</v>
      </c>
      <c r="D103" s="10">
        <f>C103/24</f>
        <v>0.16666666666666666</v>
      </c>
      <c r="E103" s="6" t="str">
        <f>VLOOKUP(B103,Ref!A:D,2,0)</f>
        <v>Neha Soni</v>
      </c>
      <c r="F103" s="6" t="str">
        <f>VLOOKUP(B103,Ref!A:D,3,0)</f>
        <v>Nisha Sharma</v>
      </c>
      <c r="G103" s="6" t="str">
        <f>VLOOKUP(B103,Ref!A:D,4,0)</f>
        <v>Chat Support</v>
      </c>
    </row>
    <row r="104" spans="1:7" x14ac:dyDescent="0.25">
      <c r="A104" s="15">
        <v>45784</v>
      </c>
      <c r="B104" s="6">
        <v>11015</v>
      </c>
      <c r="C104" s="6">
        <v>4</v>
      </c>
      <c r="D104" s="10">
        <f>C104/24</f>
        <v>0.16666666666666666</v>
      </c>
      <c r="E104" s="6" t="str">
        <f>VLOOKUP(B104,Ref!A:D,2,0)</f>
        <v>Neha Soni</v>
      </c>
      <c r="F104" s="6" t="str">
        <f>VLOOKUP(B104,Ref!A:D,3,0)</f>
        <v>Nisha Sharma</v>
      </c>
      <c r="G104" s="6" t="str">
        <f>VLOOKUP(B104,Ref!A:D,4,0)</f>
        <v>Chat Support</v>
      </c>
    </row>
    <row r="105" spans="1:7" x14ac:dyDescent="0.25">
      <c r="A105" s="15">
        <v>45785</v>
      </c>
      <c r="B105" s="6">
        <v>11015</v>
      </c>
      <c r="C105" s="6">
        <v>4</v>
      </c>
      <c r="D105" s="10">
        <f>C105/24</f>
        <v>0.16666666666666666</v>
      </c>
      <c r="E105" s="6" t="str">
        <f>VLOOKUP(B105,Ref!A:D,2,0)</f>
        <v>Neha Soni</v>
      </c>
      <c r="F105" s="6" t="str">
        <f>VLOOKUP(B105,Ref!A:D,3,0)</f>
        <v>Nisha Sharma</v>
      </c>
      <c r="G105" s="6" t="str">
        <f>VLOOKUP(B105,Ref!A:D,4,0)</f>
        <v>Chat Support</v>
      </c>
    </row>
    <row r="106" spans="1:7" x14ac:dyDescent="0.25">
      <c r="A106" s="15">
        <v>45786</v>
      </c>
      <c r="B106" s="6">
        <v>11015</v>
      </c>
      <c r="C106" s="6">
        <v>4</v>
      </c>
      <c r="D106" s="10">
        <f>C106/24</f>
        <v>0.16666666666666666</v>
      </c>
      <c r="E106" s="6" t="str">
        <f>VLOOKUP(B106,Ref!A:D,2,0)</f>
        <v>Neha Soni</v>
      </c>
      <c r="F106" s="6" t="str">
        <f>VLOOKUP(B106,Ref!A:D,3,0)</f>
        <v>Nisha Sharma</v>
      </c>
      <c r="G106" s="6" t="str">
        <f>VLOOKUP(B106,Ref!A:D,4,0)</f>
        <v>Chat Support</v>
      </c>
    </row>
    <row r="107" spans="1:7" x14ac:dyDescent="0.25">
      <c r="A107" s="15">
        <v>45789</v>
      </c>
      <c r="B107" s="6">
        <v>11015</v>
      </c>
      <c r="C107" s="6">
        <v>2</v>
      </c>
      <c r="D107" s="10">
        <f>C107/24</f>
        <v>8.3333333333333329E-2</v>
      </c>
      <c r="E107" s="6" t="str">
        <f>VLOOKUP(B107,Ref!A:D,2,0)</f>
        <v>Neha Soni</v>
      </c>
      <c r="F107" s="6" t="str">
        <f>VLOOKUP(B107,Ref!A:D,3,0)</f>
        <v>Nisha Sharma</v>
      </c>
      <c r="G107" s="6" t="str">
        <f>VLOOKUP(B107,Ref!A:D,4,0)</f>
        <v>Chat Support</v>
      </c>
    </row>
    <row r="108" spans="1:7" x14ac:dyDescent="0.25">
      <c r="A108" s="15">
        <v>45778</v>
      </c>
      <c r="B108" s="6">
        <v>11016</v>
      </c>
      <c r="C108" s="6">
        <v>4</v>
      </c>
      <c r="D108" s="10">
        <f>C108/24</f>
        <v>0.16666666666666666</v>
      </c>
      <c r="E108" s="6" t="str">
        <f>VLOOKUP(B108,Ref!A:D,2,0)</f>
        <v>Omkar Reddy</v>
      </c>
      <c r="F108" s="6" t="str">
        <f>VLOOKUP(B108,Ref!A:D,3,0)</f>
        <v>Nisha Sharma</v>
      </c>
      <c r="G108" s="6" t="str">
        <f>VLOOKUP(B108,Ref!A:D,4,0)</f>
        <v>Chat Support</v>
      </c>
    </row>
    <row r="109" spans="1:7" x14ac:dyDescent="0.25">
      <c r="A109" s="15">
        <v>45779</v>
      </c>
      <c r="B109" s="6">
        <v>11016</v>
      </c>
      <c r="C109" s="6">
        <v>4</v>
      </c>
      <c r="D109" s="10">
        <f>C109/24</f>
        <v>0.16666666666666666</v>
      </c>
      <c r="E109" s="6" t="str">
        <f>VLOOKUP(B109,Ref!A:D,2,0)</f>
        <v>Omkar Reddy</v>
      </c>
      <c r="F109" s="6" t="str">
        <f>VLOOKUP(B109,Ref!A:D,3,0)</f>
        <v>Nisha Sharma</v>
      </c>
      <c r="G109" s="6" t="str">
        <f>VLOOKUP(B109,Ref!A:D,4,0)</f>
        <v>Chat Support</v>
      </c>
    </row>
    <row r="110" spans="1:7" x14ac:dyDescent="0.25">
      <c r="A110" s="15">
        <v>45782</v>
      </c>
      <c r="B110" s="6">
        <v>11016</v>
      </c>
      <c r="C110" s="6">
        <v>4</v>
      </c>
      <c r="D110" s="10">
        <f>C110/24</f>
        <v>0.16666666666666666</v>
      </c>
      <c r="E110" s="6" t="str">
        <f>VLOOKUP(B110,Ref!A:D,2,0)</f>
        <v>Omkar Reddy</v>
      </c>
      <c r="F110" s="6" t="str">
        <f>VLOOKUP(B110,Ref!A:D,3,0)</f>
        <v>Nisha Sharma</v>
      </c>
      <c r="G110" s="6" t="str">
        <f>VLOOKUP(B110,Ref!A:D,4,0)</f>
        <v>Chat Support</v>
      </c>
    </row>
    <row r="111" spans="1:7" x14ac:dyDescent="0.25">
      <c r="A111" s="15">
        <v>45783</v>
      </c>
      <c r="B111" s="6">
        <v>11016</v>
      </c>
      <c r="C111" s="6">
        <v>4</v>
      </c>
      <c r="D111" s="10">
        <f>C111/24</f>
        <v>0.16666666666666666</v>
      </c>
      <c r="E111" s="6" t="str">
        <f>VLOOKUP(B111,Ref!A:D,2,0)</f>
        <v>Omkar Reddy</v>
      </c>
      <c r="F111" s="6" t="str">
        <f>VLOOKUP(B111,Ref!A:D,3,0)</f>
        <v>Nisha Sharma</v>
      </c>
      <c r="G111" s="6" t="str">
        <f>VLOOKUP(B111,Ref!A:D,4,0)</f>
        <v>Chat Support</v>
      </c>
    </row>
    <row r="112" spans="1:7" x14ac:dyDescent="0.25">
      <c r="A112" s="15">
        <v>45784</v>
      </c>
      <c r="B112" s="6">
        <v>11016</v>
      </c>
      <c r="C112" s="6">
        <v>4</v>
      </c>
      <c r="D112" s="10">
        <f>C112/24</f>
        <v>0.16666666666666666</v>
      </c>
      <c r="E112" s="6" t="str">
        <f>VLOOKUP(B112,Ref!A:D,2,0)</f>
        <v>Omkar Reddy</v>
      </c>
      <c r="F112" s="6" t="str">
        <f>VLOOKUP(B112,Ref!A:D,3,0)</f>
        <v>Nisha Sharma</v>
      </c>
      <c r="G112" s="6" t="str">
        <f>VLOOKUP(B112,Ref!A:D,4,0)</f>
        <v>Chat Support</v>
      </c>
    </row>
    <row r="113" spans="1:7" x14ac:dyDescent="0.25">
      <c r="A113" s="15">
        <v>45785</v>
      </c>
      <c r="B113" s="6">
        <v>11016</v>
      </c>
      <c r="C113" s="6">
        <v>2</v>
      </c>
      <c r="D113" s="10">
        <f>C113/24</f>
        <v>8.3333333333333329E-2</v>
      </c>
      <c r="E113" s="6" t="str">
        <f>VLOOKUP(B113,Ref!A:D,2,0)</f>
        <v>Omkar Reddy</v>
      </c>
      <c r="F113" s="6" t="str">
        <f>VLOOKUP(B113,Ref!A:D,3,0)</f>
        <v>Nisha Sharma</v>
      </c>
      <c r="G113" s="6" t="str">
        <f>VLOOKUP(B113,Ref!A:D,4,0)</f>
        <v>Chat Support</v>
      </c>
    </row>
    <row r="114" spans="1:7" x14ac:dyDescent="0.25">
      <c r="A114" s="15">
        <v>45778</v>
      </c>
      <c r="B114" s="6">
        <v>11017</v>
      </c>
      <c r="C114" s="6">
        <v>4</v>
      </c>
      <c r="D114" s="10">
        <f>C114/24</f>
        <v>0.16666666666666666</v>
      </c>
      <c r="E114" s="6" t="str">
        <f>VLOOKUP(B114,Ref!A:D,2,0)</f>
        <v>Pooja Kaur</v>
      </c>
      <c r="F114" s="6" t="str">
        <f>VLOOKUP(B114,Ref!A:D,3,0)</f>
        <v>Nisha Sharma</v>
      </c>
      <c r="G114" s="6" t="str">
        <f>VLOOKUP(B114,Ref!A:D,4,0)</f>
        <v>Chat Support</v>
      </c>
    </row>
    <row r="115" spans="1:7" x14ac:dyDescent="0.25">
      <c r="A115" s="15">
        <v>45779</v>
      </c>
      <c r="B115" s="6">
        <v>11017</v>
      </c>
      <c r="C115" s="6">
        <v>4</v>
      </c>
      <c r="D115" s="10">
        <f>C115/24</f>
        <v>0.16666666666666666</v>
      </c>
      <c r="E115" s="6" t="str">
        <f>VLOOKUP(B115,Ref!A:D,2,0)</f>
        <v>Pooja Kaur</v>
      </c>
      <c r="F115" s="6" t="str">
        <f>VLOOKUP(B115,Ref!A:D,3,0)</f>
        <v>Nisha Sharma</v>
      </c>
      <c r="G115" s="6" t="str">
        <f>VLOOKUP(B115,Ref!A:D,4,0)</f>
        <v>Chat Support</v>
      </c>
    </row>
    <row r="116" spans="1:7" x14ac:dyDescent="0.25">
      <c r="A116" s="15">
        <v>45782</v>
      </c>
      <c r="B116" s="6">
        <v>11017</v>
      </c>
      <c r="C116" s="6">
        <v>4</v>
      </c>
      <c r="D116" s="10">
        <f>C116/24</f>
        <v>0.16666666666666666</v>
      </c>
      <c r="E116" s="6" t="str">
        <f>VLOOKUP(B116,Ref!A:D,2,0)</f>
        <v>Pooja Kaur</v>
      </c>
      <c r="F116" s="6" t="str">
        <f>VLOOKUP(B116,Ref!A:D,3,0)</f>
        <v>Nisha Sharma</v>
      </c>
      <c r="G116" s="6" t="str">
        <f>VLOOKUP(B116,Ref!A:D,4,0)</f>
        <v>Chat Support</v>
      </c>
    </row>
    <row r="117" spans="1:7" x14ac:dyDescent="0.25">
      <c r="A117" s="15">
        <v>45783</v>
      </c>
      <c r="B117" s="6">
        <v>11017</v>
      </c>
      <c r="C117" s="6">
        <v>4</v>
      </c>
      <c r="D117" s="10">
        <f>C117/24</f>
        <v>0.16666666666666666</v>
      </c>
      <c r="E117" s="6" t="str">
        <f>VLOOKUP(B117,Ref!A:D,2,0)</f>
        <v>Pooja Kaur</v>
      </c>
      <c r="F117" s="6" t="str">
        <f>VLOOKUP(B117,Ref!A:D,3,0)</f>
        <v>Nisha Sharma</v>
      </c>
      <c r="G117" s="6" t="str">
        <f>VLOOKUP(B117,Ref!A:D,4,0)</f>
        <v>Chat Support</v>
      </c>
    </row>
    <row r="118" spans="1:7" x14ac:dyDescent="0.25">
      <c r="A118" s="15">
        <v>45784</v>
      </c>
      <c r="B118" s="6">
        <v>11017</v>
      </c>
      <c r="C118" s="6">
        <v>4</v>
      </c>
      <c r="D118" s="10">
        <f>C118/24</f>
        <v>0.16666666666666666</v>
      </c>
      <c r="E118" s="6" t="str">
        <f>VLOOKUP(B118,Ref!A:D,2,0)</f>
        <v>Pooja Kaur</v>
      </c>
      <c r="F118" s="6" t="str">
        <f>VLOOKUP(B118,Ref!A:D,3,0)</f>
        <v>Nisha Sharma</v>
      </c>
      <c r="G118" s="6" t="str">
        <f>VLOOKUP(B118,Ref!A:D,4,0)</f>
        <v>Chat Support</v>
      </c>
    </row>
    <row r="119" spans="1:7" x14ac:dyDescent="0.25">
      <c r="A119" s="15">
        <v>45785</v>
      </c>
      <c r="B119" s="6">
        <v>11017</v>
      </c>
      <c r="C119" s="6">
        <v>4</v>
      </c>
      <c r="D119" s="10">
        <f>C119/24</f>
        <v>0.16666666666666666</v>
      </c>
      <c r="E119" s="6" t="str">
        <f>VLOOKUP(B119,Ref!A:D,2,0)</f>
        <v>Pooja Kaur</v>
      </c>
      <c r="F119" s="6" t="str">
        <f>VLOOKUP(B119,Ref!A:D,3,0)</f>
        <v>Nisha Sharma</v>
      </c>
      <c r="G119" s="6" t="str">
        <f>VLOOKUP(B119,Ref!A:D,4,0)</f>
        <v>Chat Support</v>
      </c>
    </row>
    <row r="120" spans="1:7" x14ac:dyDescent="0.25">
      <c r="A120" s="15">
        <v>45786</v>
      </c>
      <c r="B120" s="6">
        <v>11017</v>
      </c>
      <c r="C120" s="6">
        <v>4</v>
      </c>
      <c r="D120" s="10">
        <f>C120/24</f>
        <v>0.16666666666666666</v>
      </c>
      <c r="E120" s="6" t="str">
        <f>VLOOKUP(B120,Ref!A:D,2,0)</f>
        <v>Pooja Kaur</v>
      </c>
      <c r="F120" s="6" t="str">
        <f>VLOOKUP(B120,Ref!A:D,3,0)</f>
        <v>Nisha Sharma</v>
      </c>
      <c r="G120" s="6" t="str">
        <f>VLOOKUP(B120,Ref!A:D,4,0)</f>
        <v>Chat Support</v>
      </c>
    </row>
    <row r="121" spans="1:7" x14ac:dyDescent="0.25">
      <c r="A121" s="15">
        <v>45789</v>
      </c>
      <c r="B121" s="6">
        <v>11017</v>
      </c>
      <c r="C121" s="6">
        <v>4</v>
      </c>
      <c r="D121" s="10">
        <f>C121/24</f>
        <v>0.16666666666666666</v>
      </c>
      <c r="E121" s="6" t="str">
        <f>VLOOKUP(B121,Ref!A:D,2,0)</f>
        <v>Pooja Kaur</v>
      </c>
      <c r="F121" s="6" t="str">
        <f>VLOOKUP(B121,Ref!A:D,3,0)</f>
        <v>Nisha Sharma</v>
      </c>
      <c r="G121" s="6" t="str">
        <f>VLOOKUP(B121,Ref!A:D,4,0)</f>
        <v>Chat Support</v>
      </c>
    </row>
    <row r="122" spans="1:7" x14ac:dyDescent="0.25">
      <c r="A122" s="15">
        <v>45790</v>
      </c>
      <c r="B122" s="6">
        <v>11017</v>
      </c>
      <c r="C122" s="6">
        <v>4</v>
      </c>
      <c r="D122" s="10">
        <f>C122/24</f>
        <v>0.16666666666666666</v>
      </c>
      <c r="E122" s="6" t="str">
        <f>VLOOKUP(B122,Ref!A:D,2,0)</f>
        <v>Pooja Kaur</v>
      </c>
      <c r="F122" s="6" t="str">
        <f>VLOOKUP(B122,Ref!A:D,3,0)</f>
        <v>Nisha Sharma</v>
      </c>
      <c r="G122" s="6" t="str">
        <f>VLOOKUP(B122,Ref!A:D,4,0)</f>
        <v>Chat Support</v>
      </c>
    </row>
    <row r="123" spans="1:7" x14ac:dyDescent="0.25">
      <c r="A123" s="15">
        <v>45791</v>
      </c>
      <c r="B123" s="6">
        <v>11017</v>
      </c>
      <c r="C123" s="6">
        <v>2</v>
      </c>
      <c r="D123" s="10">
        <f>C123/24</f>
        <v>8.3333333333333329E-2</v>
      </c>
      <c r="E123" s="6" t="str">
        <f>VLOOKUP(B123,Ref!A:D,2,0)</f>
        <v>Pooja Kaur</v>
      </c>
      <c r="F123" s="6" t="str">
        <f>VLOOKUP(B123,Ref!A:D,3,0)</f>
        <v>Nisha Sharma</v>
      </c>
      <c r="G123" s="6" t="str">
        <f>VLOOKUP(B123,Ref!A:D,4,0)</f>
        <v>Chat Support</v>
      </c>
    </row>
    <row r="124" spans="1:7" x14ac:dyDescent="0.25">
      <c r="A124" s="15">
        <v>45778</v>
      </c>
      <c r="B124" s="6">
        <v>11018</v>
      </c>
      <c r="C124" s="6">
        <v>4</v>
      </c>
      <c r="D124" s="10">
        <f>C124/24</f>
        <v>0.16666666666666666</v>
      </c>
      <c r="E124" s="6" t="str">
        <f>VLOOKUP(B124,Ref!A:D,2,0)</f>
        <v>Qasim Ali</v>
      </c>
      <c r="F124" s="6" t="str">
        <f>VLOOKUP(B124,Ref!A:D,3,0)</f>
        <v>Nisha Sharma</v>
      </c>
      <c r="G124" s="6" t="str">
        <f>VLOOKUP(B124,Ref!A:D,4,0)</f>
        <v>Chat Support</v>
      </c>
    </row>
    <row r="125" spans="1:7" x14ac:dyDescent="0.25">
      <c r="A125" s="15">
        <v>45779</v>
      </c>
      <c r="B125" s="6">
        <v>11018</v>
      </c>
      <c r="C125" s="6">
        <v>4</v>
      </c>
      <c r="D125" s="10">
        <f>C125/24</f>
        <v>0.16666666666666666</v>
      </c>
      <c r="E125" s="6" t="str">
        <f>VLOOKUP(B125,Ref!A:D,2,0)</f>
        <v>Qasim Ali</v>
      </c>
      <c r="F125" s="6" t="str">
        <f>VLOOKUP(B125,Ref!A:D,3,0)</f>
        <v>Nisha Sharma</v>
      </c>
      <c r="G125" s="6" t="str">
        <f>VLOOKUP(B125,Ref!A:D,4,0)</f>
        <v>Chat Support</v>
      </c>
    </row>
    <row r="126" spans="1:7" x14ac:dyDescent="0.25">
      <c r="A126" s="15">
        <v>45782</v>
      </c>
      <c r="B126" s="6">
        <v>11018</v>
      </c>
      <c r="C126" s="6">
        <v>3</v>
      </c>
      <c r="D126" s="10">
        <f>C126/24</f>
        <v>0.125</v>
      </c>
      <c r="E126" s="6" t="str">
        <f>VLOOKUP(B126,Ref!A:D,2,0)</f>
        <v>Qasim Ali</v>
      </c>
      <c r="F126" s="6" t="str">
        <f>VLOOKUP(B126,Ref!A:D,3,0)</f>
        <v>Nisha Sharma</v>
      </c>
      <c r="G126" s="6" t="str">
        <f>VLOOKUP(B126,Ref!A:D,4,0)</f>
        <v>Chat Support</v>
      </c>
    </row>
    <row r="127" spans="1:7" x14ac:dyDescent="0.25">
      <c r="A127" s="15">
        <v>45778</v>
      </c>
      <c r="B127" s="6">
        <v>11019</v>
      </c>
      <c r="C127" s="6">
        <v>4</v>
      </c>
      <c r="D127" s="10">
        <f>C127/24</f>
        <v>0.16666666666666666</v>
      </c>
      <c r="E127" s="6" t="str">
        <f>VLOOKUP(B127,Ref!A:D,2,0)</f>
        <v>Riya Kapoor</v>
      </c>
      <c r="F127" s="6" t="str">
        <f>VLOOKUP(B127,Ref!A:D,3,0)</f>
        <v>Nisha Sharma</v>
      </c>
      <c r="G127" s="6" t="str">
        <f>VLOOKUP(B127,Ref!A:D,4,0)</f>
        <v>Chat Support</v>
      </c>
    </row>
    <row r="128" spans="1:7" x14ac:dyDescent="0.25">
      <c r="A128" s="15">
        <v>45779</v>
      </c>
      <c r="B128" s="6">
        <v>11019</v>
      </c>
      <c r="C128" s="6">
        <v>4</v>
      </c>
      <c r="D128" s="10">
        <f>C128/24</f>
        <v>0.16666666666666666</v>
      </c>
      <c r="E128" s="6" t="str">
        <f>VLOOKUP(B128,Ref!A:D,2,0)</f>
        <v>Riya Kapoor</v>
      </c>
      <c r="F128" s="6" t="str">
        <f>VLOOKUP(B128,Ref!A:D,3,0)</f>
        <v>Nisha Sharma</v>
      </c>
      <c r="G128" s="6" t="str">
        <f>VLOOKUP(B128,Ref!A:D,4,0)</f>
        <v>Chat Support</v>
      </c>
    </row>
    <row r="129" spans="1:7" x14ac:dyDescent="0.25">
      <c r="A129" s="15">
        <v>45782</v>
      </c>
      <c r="B129" s="6">
        <v>11019</v>
      </c>
      <c r="C129" s="6">
        <v>4</v>
      </c>
      <c r="D129" s="10">
        <f>C129/24</f>
        <v>0.16666666666666666</v>
      </c>
      <c r="E129" s="6" t="str">
        <f>VLOOKUP(B129,Ref!A:D,2,0)</f>
        <v>Riya Kapoor</v>
      </c>
      <c r="F129" s="6" t="str">
        <f>VLOOKUP(B129,Ref!A:D,3,0)</f>
        <v>Nisha Sharma</v>
      </c>
      <c r="G129" s="6" t="str">
        <f>VLOOKUP(B129,Ref!A:D,4,0)</f>
        <v>Chat Support</v>
      </c>
    </row>
    <row r="130" spans="1:7" x14ac:dyDescent="0.25">
      <c r="A130" s="15">
        <v>45783</v>
      </c>
      <c r="B130" s="6">
        <v>11019</v>
      </c>
      <c r="C130" s="6">
        <v>4</v>
      </c>
      <c r="D130" s="10">
        <f>C130/24</f>
        <v>0.16666666666666666</v>
      </c>
      <c r="E130" s="6" t="str">
        <f>VLOOKUP(B130,Ref!A:D,2,0)</f>
        <v>Riya Kapoor</v>
      </c>
      <c r="F130" s="6" t="str">
        <f>VLOOKUP(B130,Ref!A:D,3,0)</f>
        <v>Nisha Sharma</v>
      </c>
      <c r="G130" s="6" t="str">
        <f>VLOOKUP(B130,Ref!A:D,4,0)</f>
        <v>Chat Support</v>
      </c>
    </row>
    <row r="131" spans="1:7" x14ac:dyDescent="0.25">
      <c r="A131" s="15">
        <v>45784</v>
      </c>
      <c r="B131" s="6">
        <v>11019</v>
      </c>
      <c r="C131" s="6">
        <v>4</v>
      </c>
      <c r="D131" s="10">
        <f>C131/24</f>
        <v>0.16666666666666666</v>
      </c>
      <c r="E131" s="6" t="str">
        <f>VLOOKUP(B131,Ref!A:D,2,0)</f>
        <v>Riya Kapoor</v>
      </c>
      <c r="F131" s="6" t="str">
        <f>VLOOKUP(B131,Ref!A:D,3,0)</f>
        <v>Nisha Sharma</v>
      </c>
      <c r="G131" s="6" t="str">
        <f>VLOOKUP(B131,Ref!A:D,4,0)</f>
        <v>Chat Support</v>
      </c>
    </row>
    <row r="132" spans="1:7" x14ac:dyDescent="0.25">
      <c r="A132" s="15">
        <v>45785</v>
      </c>
      <c r="B132" s="6">
        <v>11019</v>
      </c>
      <c r="C132" s="6">
        <v>4</v>
      </c>
      <c r="D132" s="10">
        <f>C132/24</f>
        <v>0.16666666666666666</v>
      </c>
      <c r="E132" s="6" t="str">
        <f>VLOOKUP(B132,Ref!A:D,2,0)</f>
        <v>Riya Kapoor</v>
      </c>
      <c r="F132" s="6" t="str">
        <f>VLOOKUP(B132,Ref!A:D,3,0)</f>
        <v>Nisha Sharma</v>
      </c>
      <c r="G132" s="6" t="str">
        <f>VLOOKUP(B132,Ref!A:D,4,0)</f>
        <v>Chat Support</v>
      </c>
    </row>
    <row r="133" spans="1:7" x14ac:dyDescent="0.25">
      <c r="A133" s="15">
        <v>45786</v>
      </c>
      <c r="B133" s="6">
        <v>11019</v>
      </c>
      <c r="C133" s="6">
        <v>4</v>
      </c>
      <c r="D133" s="10">
        <f>C133/24</f>
        <v>0.16666666666666666</v>
      </c>
      <c r="E133" s="6" t="str">
        <f>VLOOKUP(B133,Ref!A:D,2,0)</f>
        <v>Riya Kapoor</v>
      </c>
      <c r="F133" s="6" t="str">
        <f>VLOOKUP(B133,Ref!A:D,3,0)</f>
        <v>Nisha Sharma</v>
      </c>
      <c r="G133" s="6" t="str">
        <f>VLOOKUP(B133,Ref!A:D,4,0)</f>
        <v>Chat Support</v>
      </c>
    </row>
    <row r="134" spans="1:7" x14ac:dyDescent="0.25">
      <c r="A134" s="15">
        <v>45789</v>
      </c>
      <c r="B134" s="6">
        <v>11019</v>
      </c>
      <c r="C134" s="6">
        <v>1</v>
      </c>
      <c r="D134" s="10">
        <f>C134/24</f>
        <v>4.1666666666666664E-2</v>
      </c>
      <c r="E134" s="6" t="str">
        <f>VLOOKUP(B134,Ref!A:D,2,0)</f>
        <v>Riya Kapoor</v>
      </c>
      <c r="F134" s="6" t="str">
        <f>VLOOKUP(B134,Ref!A:D,3,0)</f>
        <v>Nisha Sharma</v>
      </c>
      <c r="G134" s="6" t="str">
        <f>VLOOKUP(B134,Ref!A:D,4,0)</f>
        <v>Chat Support</v>
      </c>
    </row>
    <row r="135" spans="1:7" x14ac:dyDescent="0.25">
      <c r="A135" s="15">
        <v>45778</v>
      </c>
      <c r="B135" s="6">
        <v>11020</v>
      </c>
      <c r="C135" s="6">
        <v>4</v>
      </c>
      <c r="D135" s="10">
        <f>C135/24</f>
        <v>0.16666666666666666</v>
      </c>
      <c r="E135" s="6" t="str">
        <f>VLOOKUP(B135,Ref!A:D,2,0)</f>
        <v>Sagar Yadav</v>
      </c>
      <c r="F135" s="6" t="str">
        <f>VLOOKUP(B135,Ref!A:D,3,0)</f>
        <v>Nisha Sharma</v>
      </c>
      <c r="G135" s="6" t="str">
        <f>VLOOKUP(B135,Ref!A:D,4,0)</f>
        <v>Chat Support</v>
      </c>
    </row>
    <row r="136" spans="1:7" x14ac:dyDescent="0.25">
      <c r="A136" s="15">
        <v>45779</v>
      </c>
      <c r="B136" s="6">
        <v>11020</v>
      </c>
      <c r="C136" s="6">
        <v>4</v>
      </c>
      <c r="D136" s="10">
        <f>C136/24</f>
        <v>0.16666666666666666</v>
      </c>
      <c r="E136" s="6" t="str">
        <f>VLOOKUP(B136,Ref!A:D,2,0)</f>
        <v>Sagar Yadav</v>
      </c>
      <c r="F136" s="6" t="str">
        <f>VLOOKUP(B136,Ref!A:D,3,0)</f>
        <v>Nisha Sharma</v>
      </c>
      <c r="G136" s="6" t="str">
        <f>VLOOKUP(B136,Ref!A:D,4,0)</f>
        <v>Chat Support</v>
      </c>
    </row>
    <row r="137" spans="1:7" x14ac:dyDescent="0.25">
      <c r="A137" s="15">
        <v>45782</v>
      </c>
      <c r="B137" s="6">
        <v>11020</v>
      </c>
      <c r="C137" s="6">
        <v>4</v>
      </c>
      <c r="D137" s="10">
        <f>C137/24</f>
        <v>0.16666666666666666</v>
      </c>
      <c r="E137" s="6" t="str">
        <f>VLOOKUP(B137,Ref!A:D,2,0)</f>
        <v>Sagar Yadav</v>
      </c>
      <c r="F137" s="6" t="str">
        <f>VLOOKUP(B137,Ref!A:D,3,0)</f>
        <v>Nisha Sharma</v>
      </c>
      <c r="G137" s="6" t="str">
        <f>VLOOKUP(B137,Ref!A:D,4,0)</f>
        <v>Chat Support</v>
      </c>
    </row>
    <row r="138" spans="1:7" x14ac:dyDescent="0.25">
      <c r="A138" s="15">
        <v>45783</v>
      </c>
      <c r="B138" s="6">
        <v>11020</v>
      </c>
      <c r="C138" s="6">
        <v>4</v>
      </c>
      <c r="D138" s="10">
        <f>C138/24</f>
        <v>0.16666666666666666</v>
      </c>
      <c r="E138" s="6" t="str">
        <f>VLOOKUP(B138,Ref!A:D,2,0)</f>
        <v>Sagar Yadav</v>
      </c>
      <c r="F138" s="6" t="str">
        <f>VLOOKUP(B138,Ref!A:D,3,0)</f>
        <v>Nisha Sharma</v>
      </c>
      <c r="G138" s="6" t="str">
        <f>VLOOKUP(B138,Ref!A:D,4,0)</f>
        <v>Chat Support</v>
      </c>
    </row>
    <row r="139" spans="1:7" x14ac:dyDescent="0.25">
      <c r="A139" s="15">
        <v>45784</v>
      </c>
      <c r="B139" s="6">
        <v>11020</v>
      </c>
      <c r="C139" s="6">
        <v>4</v>
      </c>
      <c r="D139" s="10">
        <f>C139/24</f>
        <v>0.16666666666666666</v>
      </c>
      <c r="E139" s="6" t="str">
        <f>VLOOKUP(B139,Ref!A:D,2,0)</f>
        <v>Sagar Yadav</v>
      </c>
      <c r="F139" s="6" t="str">
        <f>VLOOKUP(B139,Ref!A:D,3,0)</f>
        <v>Nisha Sharma</v>
      </c>
      <c r="G139" s="6" t="str">
        <f>VLOOKUP(B139,Ref!A:D,4,0)</f>
        <v>Chat Support</v>
      </c>
    </row>
    <row r="140" spans="1:7" x14ac:dyDescent="0.25">
      <c r="A140" s="15">
        <v>45785</v>
      </c>
      <c r="B140" s="6">
        <v>11020</v>
      </c>
      <c r="C140" s="6">
        <v>4</v>
      </c>
      <c r="D140" s="10">
        <f>C140/24</f>
        <v>0.16666666666666666</v>
      </c>
      <c r="E140" s="6" t="str">
        <f>VLOOKUP(B140,Ref!A:D,2,0)</f>
        <v>Sagar Yadav</v>
      </c>
      <c r="F140" s="6" t="str">
        <f>VLOOKUP(B140,Ref!A:D,3,0)</f>
        <v>Nisha Sharma</v>
      </c>
      <c r="G140" s="6" t="str">
        <f>VLOOKUP(B140,Ref!A:D,4,0)</f>
        <v>Chat Support</v>
      </c>
    </row>
    <row r="141" spans="1:7" x14ac:dyDescent="0.25">
      <c r="A141" s="15">
        <v>45786</v>
      </c>
      <c r="B141" s="6">
        <v>11020</v>
      </c>
      <c r="C141" s="6">
        <v>4</v>
      </c>
      <c r="D141" s="10">
        <f>C141/24</f>
        <v>0.16666666666666666</v>
      </c>
      <c r="E141" s="6" t="str">
        <f>VLOOKUP(B141,Ref!A:D,2,0)</f>
        <v>Sagar Yadav</v>
      </c>
      <c r="F141" s="6" t="str">
        <f>VLOOKUP(B141,Ref!A:D,3,0)</f>
        <v>Nisha Sharma</v>
      </c>
      <c r="G141" s="6" t="str">
        <f>VLOOKUP(B141,Ref!A:D,4,0)</f>
        <v>Chat Support</v>
      </c>
    </row>
    <row r="142" spans="1:7" x14ac:dyDescent="0.25">
      <c r="A142" s="15">
        <v>45789</v>
      </c>
      <c r="B142" s="6">
        <v>11020</v>
      </c>
      <c r="C142" s="6">
        <v>4</v>
      </c>
      <c r="D142" s="10">
        <f>C142/24</f>
        <v>0.16666666666666666</v>
      </c>
      <c r="E142" s="6" t="str">
        <f>VLOOKUP(B142,Ref!A:D,2,0)</f>
        <v>Sagar Yadav</v>
      </c>
      <c r="F142" s="6" t="str">
        <f>VLOOKUP(B142,Ref!A:D,3,0)</f>
        <v>Nisha Sharma</v>
      </c>
      <c r="G142" s="6" t="str">
        <f>VLOOKUP(B142,Ref!A:D,4,0)</f>
        <v>Chat Support</v>
      </c>
    </row>
    <row r="143" spans="1:7" x14ac:dyDescent="0.25">
      <c r="A143" s="15">
        <v>45790</v>
      </c>
      <c r="B143" s="6">
        <v>11020</v>
      </c>
      <c r="C143" s="6">
        <v>4</v>
      </c>
      <c r="D143" s="10">
        <f>C143/24</f>
        <v>0.16666666666666666</v>
      </c>
      <c r="E143" s="6" t="str">
        <f>VLOOKUP(B143,Ref!A:D,2,0)</f>
        <v>Sagar Yadav</v>
      </c>
      <c r="F143" s="6" t="str">
        <f>VLOOKUP(B143,Ref!A:D,3,0)</f>
        <v>Nisha Sharma</v>
      </c>
      <c r="G143" s="6" t="str">
        <f>VLOOKUP(B143,Ref!A:D,4,0)</f>
        <v>Chat Support</v>
      </c>
    </row>
    <row r="144" spans="1:7" x14ac:dyDescent="0.25">
      <c r="A144" s="15">
        <v>45791</v>
      </c>
      <c r="B144" s="6">
        <v>11020</v>
      </c>
      <c r="C144" s="6">
        <v>4</v>
      </c>
      <c r="D144" s="10">
        <f>C144/24</f>
        <v>0.16666666666666666</v>
      </c>
      <c r="E144" s="6" t="str">
        <f>VLOOKUP(B144,Ref!A:D,2,0)</f>
        <v>Sagar Yadav</v>
      </c>
      <c r="F144" s="6" t="str">
        <f>VLOOKUP(B144,Ref!A:D,3,0)</f>
        <v>Nisha Sharma</v>
      </c>
      <c r="G144" s="6" t="str">
        <f>VLOOKUP(B144,Ref!A:D,4,0)</f>
        <v>Chat Support</v>
      </c>
    </row>
    <row r="145" spans="1:7" x14ac:dyDescent="0.25">
      <c r="A145" s="15">
        <v>45792</v>
      </c>
      <c r="B145" s="6">
        <v>11020</v>
      </c>
      <c r="C145" s="6">
        <v>1</v>
      </c>
      <c r="D145" s="10">
        <f>C145/24</f>
        <v>4.1666666666666664E-2</v>
      </c>
      <c r="E145" s="6" t="str">
        <f>VLOOKUP(B145,Ref!A:D,2,0)</f>
        <v>Sagar Yadav</v>
      </c>
      <c r="F145" s="6" t="str">
        <f>VLOOKUP(B145,Ref!A:D,3,0)</f>
        <v>Nisha Sharma</v>
      </c>
      <c r="G145" s="6" t="str">
        <f>VLOOKUP(B145,Ref!A:D,4,0)</f>
        <v>Chat Support</v>
      </c>
    </row>
    <row r="146" spans="1:7" x14ac:dyDescent="0.25">
      <c r="A146" s="15">
        <v>45778</v>
      </c>
      <c r="B146" s="6">
        <v>11021</v>
      </c>
      <c r="C146" s="6">
        <v>4</v>
      </c>
      <c r="D146" s="10">
        <f>C146/24</f>
        <v>0.16666666666666666</v>
      </c>
      <c r="E146" s="6" t="str">
        <f>VLOOKUP(B146,Ref!A:D,2,0)</f>
        <v>Tanya Verma</v>
      </c>
      <c r="F146" s="6" t="str">
        <f>VLOOKUP(B146,Ref!A:D,3,0)</f>
        <v>Prakash Nair</v>
      </c>
      <c r="G146" s="6" t="str">
        <f>VLOOKUP(B146,Ref!A:D,4,0)</f>
        <v>Email Escalations</v>
      </c>
    </row>
    <row r="147" spans="1:7" x14ac:dyDescent="0.25">
      <c r="A147" s="15">
        <v>45779</v>
      </c>
      <c r="B147" s="6">
        <v>11021</v>
      </c>
      <c r="C147" s="6">
        <v>4</v>
      </c>
      <c r="D147" s="10">
        <f>C147/24</f>
        <v>0.16666666666666666</v>
      </c>
      <c r="E147" s="6" t="str">
        <f>VLOOKUP(B147,Ref!A:D,2,0)</f>
        <v>Tanya Verma</v>
      </c>
      <c r="F147" s="6" t="str">
        <f>VLOOKUP(B147,Ref!A:D,3,0)</f>
        <v>Prakash Nair</v>
      </c>
      <c r="G147" s="6" t="str">
        <f>VLOOKUP(B147,Ref!A:D,4,0)</f>
        <v>Email Escalations</v>
      </c>
    </row>
    <row r="148" spans="1:7" x14ac:dyDescent="0.25">
      <c r="A148" s="15">
        <v>45782</v>
      </c>
      <c r="B148" s="6">
        <v>11021</v>
      </c>
      <c r="C148" s="6">
        <v>4</v>
      </c>
      <c r="D148" s="10">
        <f>C148/24</f>
        <v>0.16666666666666666</v>
      </c>
      <c r="E148" s="6" t="str">
        <f>VLOOKUP(B148,Ref!A:D,2,0)</f>
        <v>Tanya Verma</v>
      </c>
      <c r="F148" s="6" t="str">
        <f>VLOOKUP(B148,Ref!A:D,3,0)</f>
        <v>Prakash Nair</v>
      </c>
      <c r="G148" s="6" t="str">
        <f>VLOOKUP(B148,Ref!A:D,4,0)</f>
        <v>Email Escalations</v>
      </c>
    </row>
    <row r="149" spans="1:7" x14ac:dyDescent="0.25">
      <c r="A149" s="15">
        <v>45783</v>
      </c>
      <c r="B149" s="6">
        <v>11021</v>
      </c>
      <c r="C149" s="6">
        <v>4</v>
      </c>
      <c r="D149" s="10">
        <f>C149/24</f>
        <v>0.16666666666666666</v>
      </c>
      <c r="E149" s="6" t="str">
        <f>VLOOKUP(B149,Ref!A:D,2,0)</f>
        <v>Tanya Verma</v>
      </c>
      <c r="F149" s="6" t="str">
        <f>VLOOKUP(B149,Ref!A:D,3,0)</f>
        <v>Prakash Nair</v>
      </c>
      <c r="G149" s="6" t="str">
        <f>VLOOKUP(B149,Ref!A:D,4,0)</f>
        <v>Email Escalations</v>
      </c>
    </row>
    <row r="150" spans="1:7" x14ac:dyDescent="0.25">
      <c r="A150" s="15">
        <v>45784</v>
      </c>
      <c r="B150" s="6">
        <v>11021</v>
      </c>
      <c r="C150" s="6">
        <v>1</v>
      </c>
      <c r="D150" s="10">
        <f>C150/24</f>
        <v>4.1666666666666664E-2</v>
      </c>
      <c r="E150" s="6" t="str">
        <f>VLOOKUP(B150,Ref!A:D,2,0)</f>
        <v>Tanya Verma</v>
      </c>
      <c r="F150" s="6" t="str">
        <f>VLOOKUP(B150,Ref!A:D,3,0)</f>
        <v>Prakash Nair</v>
      </c>
      <c r="G150" s="6" t="str">
        <f>VLOOKUP(B150,Ref!A:D,4,0)</f>
        <v>Email Escalations</v>
      </c>
    </row>
    <row r="151" spans="1:7" x14ac:dyDescent="0.25">
      <c r="A151" s="15">
        <v>45778</v>
      </c>
      <c r="B151" s="6">
        <v>11022</v>
      </c>
      <c r="C151" s="6">
        <v>4</v>
      </c>
      <c r="D151" s="10">
        <f>C151/24</f>
        <v>0.16666666666666666</v>
      </c>
      <c r="E151" s="6" t="str">
        <f>VLOOKUP(B151,Ref!A:D,2,0)</f>
        <v>Uday Thakur</v>
      </c>
      <c r="F151" s="6" t="str">
        <f>VLOOKUP(B151,Ref!A:D,3,0)</f>
        <v>Prakash Nair</v>
      </c>
      <c r="G151" s="6" t="str">
        <f>VLOOKUP(B151,Ref!A:D,4,0)</f>
        <v>Email Escalations</v>
      </c>
    </row>
    <row r="152" spans="1:7" x14ac:dyDescent="0.25">
      <c r="A152" s="15">
        <v>45779</v>
      </c>
      <c r="B152" s="6">
        <v>11022</v>
      </c>
      <c r="C152" s="6">
        <v>4</v>
      </c>
      <c r="D152" s="10">
        <f>C152/24</f>
        <v>0.16666666666666666</v>
      </c>
      <c r="E152" s="6" t="str">
        <f>VLOOKUP(B152,Ref!A:D,2,0)</f>
        <v>Uday Thakur</v>
      </c>
      <c r="F152" s="6" t="str">
        <f>VLOOKUP(B152,Ref!A:D,3,0)</f>
        <v>Prakash Nair</v>
      </c>
      <c r="G152" s="6" t="str">
        <f>VLOOKUP(B152,Ref!A:D,4,0)</f>
        <v>Email Escalations</v>
      </c>
    </row>
    <row r="153" spans="1:7" x14ac:dyDescent="0.25">
      <c r="A153" s="15">
        <v>45782</v>
      </c>
      <c r="B153" s="6">
        <v>11022</v>
      </c>
      <c r="C153" s="6">
        <v>4</v>
      </c>
      <c r="D153" s="10">
        <f>C153/24</f>
        <v>0.16666666666666666</v>
      </c>
      <c r="E153" s="6" t="str">
        <f>VLOOKUP(B153,Ref!A:D,2,0)</f>
        <v>Uday Thakur</v>
      </c>
      <c r="F153" s="6" t="str">
        <f>VLOOKUP(B153,Ref!A:D,3,0)</f>
        <v>Prakash Nair</v>
      </c>
      <c r="G153" s="6" t="str">
        <f>VLOOKUP(B153,Ref!A:D,4,0)</f>
        <v>Email Escalations</v>
      </c>
    </row>
    <row r="154" spans="1:7" x14ac:dyDescent="0.25">
      <c r="A154" s="15">
        <v>45783</v>
      </c>
      <c r="B154" s="6">
        <v>11022</v>
      </c>
      <c r="C154" s="6">
        <v>4</v>
      </c>
      <c r="D154" s="10">
        <f>C154/24</f>
        <v>0.16666666666666666</v>
      </c>
      <c r="E154" s="6" t="str">
        <f>VLOOKUP(B154,Ref!A:D,2,0)</f>
        <v>Uday Thakur</v>
      </c>
      <c r="F154" s="6" t="str">
        <f>VLOOKUP(B154,Ref!A:D,3,0)</f>
        <v>Prakash Nair</v>
      </c>
      <c r="G154" s="6" t="str">
        <f>VLOOKUP(B154,Ref!A:D,4,0)</f>
        <v>Email Escalations</v>
      </c>
    </row>
    <row r="155" spans="1:7" x14ac:dyDescent="0.25">
      <c r="A155" s="15">
        <v>45784</v>
      </c>
      <c r="B155" s="6">
        <v>11022</v>
      </c>
      <c r="C155" s="6">
        <v>4</v>
      </c>
      <c r="D155" s="10">
        <f>C155/24</f>
        <v>0.16666666666666666</v>
      </c>
      <c r="E155" s="6" t="str">
        <f>VLOOKUP(B155,Ref!A:D,2,0)</f>
        <v>Uday Thakur</v>
      </c>
      <c r="F155" s="6" t="str">
        <f>VLOOKUP(B155,Ref!A:D,3,0)</f>
        <v>Prakash Nair</v>
      </c>
      <c r="G155" s="6" t="str">
        <f>VLOOKUP(B155,Ref!A:D,4,0)</f>
        <v>Email Escalations</v>
      </c>
    </row>
    <row r="156" spans="1:7" x14ac:dyDescent="0.25">
      <c r="A156" s="15">
        <v>45785</v>
      </c>
      <c r="B156" s="6">
        <v>11022</v>
      </c>
      <c r="C156" s="6">
        <v>4</v>
      </c>
      <c r="D156" s="10">
        <f>C156/24</f>
        <v>0.16666666666666666</v>
      </c>
      <c r="E156" s="6" t="str">
        <f>VLOOKUP(B156,Ref!A:D,2,0)</f>
        <v>Uday Thakur</v>
      </c>
      <c r="F156" s="6" t="str">
        <f>VLOOKUP(B156,Ref!A:D,3,0)</f>
        <v>Prakash Nair</v>
      </c>
      <c r="G156" s="6" t="str">
        <f>VLOOKUP(B156,Ref!A:D,4,0)</f>
        <v>Email Escalations</v>
      </c>
    </row>
    <row r="157" spans="1:7" x14ac:dyDescent="0.25">
      <c r="A157" s="15">
        <v>45786</v>
      </c>
      <c r="B157" s="6">
        <v>11022</v>
      </c>
      <c r="C157" s="6">
        <v>4</v>
      </c>
      <c r="D157" s="10">
        <f>C157/24</f>
        <v>0.16666666666666666</v>
      </c>
      <c r="E157" s="6" t="str">
        <f>VLOOKUP(B157,Ref!A:D,2,0)</f>
        <v>Uday Thakur</v>
      </c>
      <c r="F157" s="6" t="str">
        <f>VLOOKUP(B157,Ref!A:D,3,0)</f>
        <v>Prakash Nair</v>
      </c>
      <c r="G157" s="6" t="str">
        <f>VLOOKUP(B157,Ref!A:D,4,0)</f>
        <v>Email Escalations</v>
      </c>
    </row>
    <row r="158" spans="1:7" x14ac:dyDescent="0.25">
      <c r="A158" s="15">
        <v>45789</v>
      </c>
      <c r="B158" s="6">
        <v>11022</v>
      </c>
      <c r="C158" s="6">
        <v>4</v>
      </c>
      <c r="D158" s="10">
        <f>C158/24</f>
        <v>0.16666666666666666</v>
      </c>
      <c r="E158" s="6" t="str">
        <f>VLOOKUP(B158,Ref!A:D,2,0)</f>
        <v>Uday Thakur</v>
      </c>
      <c r="F158" s="6" t="str">
        <f>VLOOKUP(B158,Ref!A:D,3,0)</f>
        <v>Prakash Nair</v>
      </c>
      <c r="G158" s="6" t="str">
        <f>VLOOKUP(B158,Ref!A:D,4,0)</f>
        <v>Email Escalations</v>
      </c>
    </row>
    <row r="159" spans="1:7" x14ac:dyDescent="0.25">
      <c r="A159" s="15">
        <v>45790</v>
      </c>
      <c r="B159" s="6">
        <v>11022</v>
      </c>
      <c r="C159" s="6">
        <v>3</v>
      </c>
      <c r="D159" s="10">
        <f>C159/24</f>
        <v>0.125</v>
      </c>
      <c r="E159" s="6" t="str">
        <f>VLOOKUP(B159,Ref!A:D,2,0)</f>
        <v>Uday Thakur</v>
      </c>
      <c r="F159" s="6" t="str">
        <f>VLOOKUP(B159,Ref!A:D,3,0)</f>
        <v>Prakash Nair</v>
      </c>
      <c r="G159" s="6" t="str">
        <f>VLOOKUP(B159,Ref!A:D,4,0)</f>
        <v>Email Escalations</v>
      </c>
    </row>
    <row r="160" spans="1:7" x14ac:dyDescent="0.25">
      <c r="A160" s="15">
        <v>45778</v>
      </c>
      <c r="B160" s="6">
        <v>11023</v>
      </c>
      <c r="C160" s="6">
        <v>4</v>
      </c>
      <c r="D160" s="10">
        <f>C160/24</f>
        <v>0.16666666666666666</v>
      </c>
      <c r="E160" s="6" t="str">
        <f>VLOOKUP(B160,Ref!A:D,2,0)</f>
        <v>Varsha Jain</v>
      </c>
      <c r="F160" s="6" t="str">
        <f>VLOOKUP(B160,Ref!A:D,3,0)</f>
        <v>Prakash Nair</v>
      </c>
      <c r="G160" s="6" t="str">
        <f>VLOOKUP(B160,Ref!A:D,4,0)</f>
        <v>Email Escalations</v>
      </c>
    </row>
    <row r="161" spans="1:7" x14ac:dyDescent="0.25">
      <c r="A161" s="15">
        <v>45779</v>
      </c>
      <c r="B161" s="6">
        <v>11023</v>
      </c>
      <c r="C161" s="6">
        <v>4</v>
      </c>
      <c r="D161" s="10">
        <f>C161/24</f>
        <v>0.16666666666666666</v>
      </c>
      <c r="E161" s="6" t="str">
        <f>VLOOKUP(B161,Ref!A:D,2,0)</f>
        <v>Varsha Jain</v>
      </c>
      <c r="F161" s="6" t="str">
        <f>VLOOKUP(B161,Ref!A:D,3,0)</f>
        <v>Prakash Nair</v>
      </c>
      <c r="G161" s="6" t="str">
        <f>VLOOKUP(B161,Ref!A:D,4,0)</f>
        <v>Email Escalations</v>
      </c>
    </row>
    <row r="162" spans="1:7" x14ac:dyDescent="0.25">
      <c r="A162" s="15">
        <v>45782</v>
      </c>
      <c r="B162" s="6">
        <v>11023</v>
      </c>
      <c r="C162" s="6">
        <v>4</v>
      </c>
      <c r="D162" s="10">
        <f>C162/24</f>
        <v>0.16666666666666666</v>
      </c>
      <c r="E162" s="6" t="str">
        <f>VLOOKUP(B162,Ref!A:D,2,0)</f>
        <v>Varsha Jain</v>
      </c>
      <c r="F162" s="6" t="str">
        <f>VLOOKUP(B162,Ref!A:D,3,0)</f>
        <v>Prakash Nair</v>
      </c>
      <c r="G162" s="6" t="str">
        <f>VLOOKUP(B162,Ref!A:D,4,0)</f>
        <v>Email Escalations</v>
      </c>
    </row>
    <row r="163" spans="1:7" x14ac:dyDescent="0.25">
      <c r="A163" s="15">
        <v>45778</v>
      </c>
      <c r="B163" s="6">
        <v>11024</v>
      </c>
      <c r="C163" s="6">
        <v>4</v>
      </c>
      <c r="D163" s="10">
        <f>C163/24</f>
        <v>0.16666666666666666</v>
      </c>
      <c r="E163" s="6" t="str">
        <f>VLOOKUP(B163,Ref!A:D,2,0)</f>
        <v>Waseem Khan</v>
      </c>
      <c r="F163" s="6" t="str">
        <f>VLOOKUP(B163,Ref!A:D,3,0)</f>
        <v>Prakash Nair</v>
      </c>
      <c r="G163" s="6" t="str">
        <f>VLOOKUP(B163,Ref!A:D,4,0)</f>
        <v>Email Escalations</v>
      </c>
    </row>
    <row r="164" spans="1:7" x14ac:dyDescent="0.25">
      <c r="A164" s="15">
        <v>45779</v>
      </c>
      <c r="B164" s="6">
        <v>11024</v>
      </c>
      <c r="C164" s="6">
        <v>4</v>
      </c>
      <c r="D164" s="10">
        <f>C164/24</f>
        <v>0.16666666666666666</v>
      </c>
      <c r="E164" s="6" t="str">
        <f>VLOOKUP(B164,Ref!A:D,2,0)</f>
        <v>Waseem Khan</v>
      </c>
      <c r="F164" s="6" t="str">
        <f>VLOOKUP(B164,Ref!A:D,3,0)</f>
        <v>Prakash Nair</v>
      </c>
      <c r="G164" s="6" t="str">
        <f>VLOOKUP(B164,Ref!A:D,4,0)</f>
        <v>Email Escalations</v>
      </c>
    </row>
    <row r="165" spans="1:7" x14ac:dyDescent="0.25">
      <c r="A165" s="15">
        <v>45782</v>
      </c>
      <c r="B165" s="6">
        <v>11024</v>
      </c>
      <c r="C165" s="6">
        <v>4</v>
      </c>
      <c r="D165" s="10">
        <f>C165/24</f>
        <v>0.16666666666666666</v>
      </c>
      <c r="E165" s="6" t="str">
        <f>VLOOKUP(B165,Ref!A:D,2,0)</f>
        <v>Waseem Khan</v>
      </c>
      <c r="F165" s="6" t="str">
        <f>VLOOKUP(B165,Ref!A:D,3,0)</f>
        <v>Prakash Nair</v>
      </c>
      <c r="G165" s="6" t="str">
        <f>VLOOKUP(B165,Ref!A:D,4,0)</f>
        <v>Email Escalations</v>
      </c>
    </row>
    <row r="166" spans="1:7" x14ac:dyDescent="0.25">
      <c r="A166" s="15">
        <v>45783</v>
      </c>
      <c r="B166" s="6">
        <v>11024</v>
      </c>
      <c r="C166" s="6">
        <v>4</v>
      </c>
      <c r="D166" s="10">
        <f>C166/24</f>
        <v>0.16666666666666666</v>
      </c>
      <c r="E166" s="6" t="str">
        <f>VLOOKUP(B166,Ref!A:D,2,0)</f>
        <v>Waseem Khan</v>
      </c>
      <c r="F166" s="6" t="str">
        <f>VLOOKUP(B166,Ref!A:D,3,0)</f>
        <v>Prakash Nair</v>
      </c>
      <c r="G166" s="6" t="str">
        <f>VLOOKUP(B166,Ref!A:D,4,0)</f>
        <v>Email Escalations</v>
      </c>
    </row>
    <row r="167" spans="1:7" x14ac:dyDescent="0.25">
      <c r="A167" s="15">
        <v>45784</v>
      </c>
      <c r="B167" s="6">
        <v>11024</v>
      </c>
      <c r="C167" s="6">
        <v>4</v>
      </c>
      <c r="D167" s="10">
        <f>C167/24</f>
        <v>0.16666666666666666</v>
      </c>
      <c r="E167" s="6" t="str">
        <f>VLOOKUP(B167,Ref!A:D,2,0)</f>
        <v>Waseem Khan</v>
      </c>
      <c r="F167" s="6" t="str">
        <f>VLOOKUP(B167,Ref!A:D,3,0)</f>
        <v>Prakash Nair</v>
      </c>
      <c r="G167" s="6" t="str">
        <f>VLOOKUP(B167,Ref!A:D,4,0)</f>
        <v>Email Escalations</v>
      </c>
    </row>
    <row r="168" spans="1:7" x14ac:dyDescent="0.25">
      <c r="A168" s="15">
        <v>45785</v>
      </c>
      <c r="B168" s="6">
        <v>11024</v>
      </c>
      <c r="C168" s="6">
        <v>4</v>
      </c>
      <c r="D168" s="10">
        <f>C168/24</f>
        <v>0.16666666666666666</v>
      </c>
      <c r="E168" s="6" t="str">
        <f>VLOOKUP(B168,Ref!A:D,2,0)</f>
        <v>Waseem Khan</v>
      </c>
      <c r="F168" s="6" t="str">
        <f>VLOOKUP(B168,Ref!A:D,3,0)</f>
        <v>Prakash Nair</v>
      </c>
      <c r="G168" s="6" t="str">
        <f>VLOOKUP(B168,Ref!A:D,4,0)</f>
        <v>Email Escalations</v>
      </c>
    </row>
    <row r="169" spans="1:7" x14ac:dyDescent="0.25">
      <c r="A169" s="15">
        <v>45786</v>
      </c>
      <c r="B169" s="6">
        <v>11024</v>
      </c>
      <c r="C169" s="6">
        <v>4</v>
      </c>
      <c r="D169" s="10">
        <f>C169/24</f>
        <v>0.16666666666666666</v>
      </c>
      <c r="E169" s="6" t="str">
        <f>VLOOKUP(B169,Ref!A:D,2,0)</f>
        <v>Waseem Khan</v>
      </c>
      <c r="F169" s="6" t="str">
        <f>VLOOKUP(B169,Ref!A:D,3,0)</f>
        <v>Prakash Nair</v>
      </c>
      <c r="G169" s="6" t="str">
        <f>VLOOKUP(B169,Ref!A:D,4,0)</f>
        <v>Email Escalations</v>
      </c>
    </row>
    <row r="170" spans="1:7" x14ac:dyDescent="0.25">
      <c r="A170" s="15">
        <v>45789</v>
      </c>
      <c r="B170" s="6">
        <v>11024</v>
      </c>
      <c r="C170" s="6">
        <v>4</v>
      </c>
      <c r="D170" s="10">
        <f>C170/24</f>
        <v>0.16666666666666666</v>
      </c>
      <c r="E170" s="6" t="str">
        <f>VLOOKUP(B170,Ref!A:D,2,0)</f>
        <v>Waseem Khan</v>
      </c>
      <c r="F170" s="6" t="str">
        <f>VLOOKUP(B170,Ref!A:D,3,0)</f>
        <v>Prakash Nair</v>
      </c>
      <c r="G170" s="6" t="str">
        <f>VLOOKUP(B170,Ref!A:D,4,0)</f>
        <v>Email Escalations</v>
      </c>
    </row>
    <row r="171" spans="1:7" x14ac:dyDescent="0.25">
      <c r="A171" s="15">
        <v>45790</v>
      </c>
      <c r="B171" s="6">
        <v>11024</v>
      </c>
      <c r="C171" s="6">
        <v>4</v>
      </c>
      <c r="D171" s="10">
        <f>C171/24</f>
        <v>0.16666666666666666</v>
      </c>
      <c r="E171" s="6" t="str">
        <f>VLOOKUP(B171,Ref!A:D,2,0)</f>
        <v>Waseem Khan</v>
      </c>
      <c r="F171" s="6" t="str">
        <f>VLOOKUP(B171,Ref!A:D,3,0)</f>
        <v>Prakash Nair</v>
      </c>
      <c r="G171" s="6" t="str">
        <f>VLOOKUP(B171,Ref!A:D,4,0)</f>
        <v>Email Escalations</v>
      </c>
    </row>
    <row r="172" spans="1:7" x14ac:dyDescent="0.25">
      <c r="A172" s="15">
        <v>45791</v>
      </c>
      <c r="B172" s="6">
        <v>11024</v>
      </c>
      <c r="C172" s="6">
        <v>4</v>
      </c>
      <c r="D172" s="10">
        <f>C172/24</f>
        <v>0.16666666666666666</v>
      </c>
      <c r="E172" s="6" t="str">
        <f>VLOOKUP(B172,Ref!A:D,2,0)</f>
        <v>Waseem Khan</v>
      </c>
      <c r="F172" s="6" t="str">
        <f>VLOOKUP(B172,Ref!A:D,3,0)</f>
        <v>Prakash Nair</v>
      </c>
      <c r="G172" s="6" t="str">
        <f>VLOOKUP(B172,Ref!A:D,4,0)</f>
        <v>Email Escalations</v>
      </c>
    </row>
    <row r="173" spans="1:7" x14ac:dyDescent="0.25">
      <c r="A173" s="15">
        <v>45792</v>
      </c>
      <c r="B173" s="6">
        <v>11024</v>
      </c>
      <c r="C173" s="6">
        <v>3</v>
      </c>
      <c r="D173" s="10">
        <f>C173/24</f>
        <v>0.125</v>
      </c>
      <c r="E173" s="6" t="str">
        <f>VLOOKUP(B173,Ref!A:D,2,0)</f>
        <v>Waseem Khan</v>
      </c>
      <c r="F173" s="6" t="str">
        <f>VLOOKUP(B173,Ref!A:D,3,0)</f>
        <v>Prakash Nair</v>
      </c>
      <c r="G173" s="6" t="str">
        <f>VLOOKUP(B173,Ref!A:D,4,0)</f>
        <v>Email Escalations</v>
      </c>
    </row>
    <row r="174" spans="1:7" x14ac:dyDescent="0.25">
      <c r="A174" s="15">
        <v>45778</v>
      </c>
      <c r="B174" s="6">
        <v>11025</v>
      </c>
      <c r="C174" s="6">
        <v>4</v>
      </c>
      <c r="D174" s="10">
        <f>C174/24</f>
        <v>0.16666666666666666</v>
      </c>
      <c r="E174" s="6" t="str">
        <f>VLOOKUP(B174,Ref!A:D,2,0)</f>
        <v>Xenia Pinto</v>
      </c>
      <c r="F174" s="6" t="str">
        <f>VLOOKUP(B174,Ref!A:D,3,0)</f>
        <v>Prakash Nair</v>
      </c>
      <c r="G174" s="6" t="str">
        <f>VLOOKUP(B174,Ref!A:D,4,0)</f>
        <v>Email Escalations</v>
      </c>
    </row>
    <row r="175" spans="1:7" x14ac:dyDescent="0.25">
      <c r="A175" s="15">
        <v>45779</v>
      </c>
      <c r="B175" s="6">
        <v>11025</v>
      </c>
      <c r="C175" s="6">
        <v>4</v>
      </c>
      <c r="D175" s="10">
        <f>C175/24</f>
        <v>0.16666666666666666</v>
      </c>
      <c r="E175" s="6" t="str">
        <f>VLOOKUP(B175,Ref!A:D,2,0)</f>
        <v>Xenia Pinto</v>
      </c>
      <c r="F175" s="6" t="str">
        <f>VLOOKUP(B175,Ref!A:D,3,0)</f>
        <v>Prakash Nair</v>
      </c>
      <c r="G175" s="6" t="str">
        <f>VLOOKUP(B175,Ref!A:D,4,0)</f>
        <v>Email Escalations</v>
      </c>
    </row>
    <row r="176" spans="1:7" x14ac:dyDescent="0.25">
      <c r="A176" s="15">
        <v>45782</v>
      </c>
      <c r="B176" s="6">
        <v>11025</v>
      </c>
      <c r="C176" s="6">
        <v>4</v>
      </c>
      <c r="D176" s="10">
        <f>C176/24</f>
        <v>0.16666666666666666</v>
      </c>
      <c r="E176" s="6" t="str">
        <f>VLOOKUP(B176,Ref!A:D,2,0)</f>
        <v>Xenia Pinto</v>
      </c>
      <c r="F176" s="6" t="str">
        <f>VLOOKUP(B176,Ref!A:D,3,0)</f>
        <v>Prakash Nair</v>
      </c>
      <c r="G176" s="6" t="str">
        <f>VLOOKUP(B176,Ref!A:D,4,0)</f>
        <v>Email Escalations</v>
      </c>
    </row>
    <row r="177" spans="1:7" x14ac:dyDescent="0.25">
      <c r="A177" s="15">
        <v>45783</v>
      </c>
      <c r="B177" s="6">
        <v>11025</v>
      </c>
      <c r="C177" s="6">
        <v>4</v>
      </c>
      <c r="D177" s="10">
        <f>C177/24</f>
        <v>0.16666666666666666</v>
      </c>
      <c r="E177" s="6" t="str">
        <f>VLOOKUP(B177,Ref!A:D,2,0)</f>
        <v>Xenia Pinto</v>
      </c>
      <c r="F177" s="6" t="str">
        <f>VLOOKUP(B177,Ref!A:D,3,0)</f>
        <v>Prakash Nair</v>
      </c>
      <c r="G177" s="6" t="str">
        <f>VLOOKUP(B177,Ref!A:D,4,0)</f>
        <v>Email Escalations</v>
      </c>
    </row>
    <row r="178" spans="1:7" x14ac:dyDescent="0.25">
      <c r="A178" s="15">
        <v>45784</v>
      </c>
      <c r="B178" s="6">
        <v>11025</v>
      </c>
      <c r="C178" s="6">
        <v>4</v>
      </c>
      <c r="D178" s="10">
        <f>C178/24</f>
        <v>0.16666666666666666</v>
      </c>
      <c r="E178" s="6" t="str">
        <f>VLOOKUP(B178,Ref!A:D,2,0)</f>
        <v>Xenia Pinto</v>
      </c>
      <c r="F178" s="6" t="str">
        <f>VLOOKUP(B178,Ref!A:D,3,0)</f>
        <v>Prakash Nair</v>
      </c>
      <c r="G178" s="6" t="str">
        <f>VLOOKUP(B178,Ref!A:D,4,0)</f>
        <v>Email Escalations</v>
      </c>
    </row>
    <row r="179" spans="1:7" x14ac:dyDescent="0.25">
      <c r="A179" s="15">
        <v>45785</v>
      </c>
      <c r="B179" s="6">
        <v>11025</v>
      </c>
      <c r="C179" s="6">
        <v>4</v>
      </c>
      <c r="D179" s="10">
        <f>C179/24</f>
        <v>0.16666666666666666</v>
      </c>
      <c r="E179" s="6" t="str">
        <f>VLOOKUP(B179,Ref!A:D,2,0)</f>
        <v>Xenia Pinto</v>
      </c>
      <c r="F179" s="6" t="str">
        <f>VLOOKUP(B179,Ref!A:D,3,0)</f>
        <v>Prakash Nair</v>
      </c>
      <c r="G179" s="6" t="str">
        <f>VLOOKUP(B179,Ref!A:D,4,0)</f>
        <v>Email Escalations</v>
      </c>
    </row>
    <row r="180" spans="1:7" x14ac:dyDescent="0.25">
      <c r="A180" s="15">
        <v>45786</v>
      </c>
      <c r="B180" s="6">
        <v>11025</v>
      </c>
      <c r="C180" s="6">
        <v>3</v>
      </c>
      <c r="D180" s="10">
        <f>C180/24</f>
        <v>0.125</v>
      </c>
      <c r="E180" s="6" t="str">
        <f>VLOOKUP(B180,Ref!A:D,2,0)</f>
        <v>Xenia Pinto</v>
      </c>
      <c r="F180" s="6" t="str">
        <f>VLOOKUP(B180,Ref!A:D,3,0)</f>
        <v>Prakash Nair</v>
      </c>
      <c r="G180" s="6" t="str">
        <f>VLOOKUP(B180,Ref!A:D,4,0)</f>
        <v>Email Escalations</v>
      </c>
    </row>
    <row r="181" spans="1:7" x14ac:dyDescent="0.25">
      <c r="A181" s="15">
        <v>45778</v>
      </c>
      <c r="B181" s="6">
        <v>11026</v>
      </c>
      <c r="C181" s="6">
        <v>4</v>
      </c>
      <c r="D181" s="10">
        <f>C181/24</f>
        <v>0.16666666666666666</v>
      </c>
      <c r="E181" s="6" t="str">
        <f>VLOOKUP(B181,Ref!A:D,2,0)</f>
        <v>Yogesh Bhatt</v>
      </c>
      <c r="F181" s="6" t="str">
        <f>VLOOKUP(B181,Ref!A:D,3,0)</f>
        <v>Prakash Nair</v>
      </c>
      <c r="G181" s="6" t="str">
        <f>VLOOKUP(B181,Ref!A:D,4,0)</f>
        <v>Email Escalations</v>
      </c>
    </row>
    <row r="182" spans="1:7" x14ac:dyDescent="0.25">
      <c r="A182" s="15">
        <v>45779</v>
      </c>
      <c r="B182" s="6">
        <v>11026</v>
      </c>
      <c r="C182" s="6">
        <v>4</v>
      </c>
      <c r="D182" s="10">
        <f>C182/24</f>
        <v>0.16666666666666666</v>
      </c>
      <c r="E182" s="6" t="str">
        <f>VLOOKUP(B182,Ref!A:D,2,0)</f>
        <v>Yogesh Bhatt</v>
      </c>
      <c r="F182" s="6" t="str">
        <f>VLOOKUP(B182,Ref!A:D,3,0)</f>
        <v>Prakash Nair</v>
      </c>
      <c r="G182" s="6" t="str">
        <f>VLOOKUP(B182,Ref!A:D,4,0)</f>
        <v>Email Escalations</v>
      </c>
    </row>
    <row r="183" spans="1:7" x14ac:dyDescent="0.25">
      <c r="A183" s="15">
        <v>45782</v>
      </c>
      <c r="B183" s="6">
        <v>11026</v>
      </c>
      <c r="C183" s="6">
        <v>4</v>
      </c>
      <c r="D183" s="10">
        <f>C183/24</f>
        <v>0.16666666666666666</v>
      </c>
      <c r="E183" s="6" t="str">
        <f>VLOOKUP(B183,Ref!A:D,2,0)</f>
        <v>Yogesh Bhatt</v>
      </c>
      <c r="F183" s="6" t="str">
        <f>VLOOKUP(B183,Ref!A:D,3,0)</f>
        <v>Prakash Nair</v>
      </c>
      <c r="G183" s="6" t="str">
        <f>VLOOKUP(B183,Ref!A:D,4,0)</f>
        <v>Email Escalations</v>
      </c>
    </row>
    <row r="184" spans="1:7" x14ac:dyDescent="0.25">
      <c r="A184" s="15">
        <v>45783</v>
      </c>
      <c r="B184" s="6">
        <v>11026</v>
      </c>
      <c r="C184" s="6">
        <v>4</v>
      </c>
      <c r="D184" s="10">
        <f>C184/24</f>
        <v>0.16666666666666666</v>
      </c>
      <c r="E184" s="6" t="str">
        <f>VLOOKUP(B184,Ref!A:D,2,0)</f>
        <v>Yogesh Bhatt</v>
      </c>
      <c r="F184" s="6" t="str">
        <f>VLOOKUP(B184,Ref!A:D,3,0)</f>
        <v>Prakash Nair</v>
      </c>
      <c r="G184" s="6" t="str">
        <f>VLOOKUP(B184,Ref!A:D,4,0)</f>
        <v>Email Escalations</v>
      </c>
    </row>
    <row r="185" spans="1:7" x14ac:dyDescent="0.25">
      <c r="A185" s="15">
        <v>45784</v>
      </c>
      <c r="B185" s="6">
        <v>11026</v>
      </c>
      <c r="C185" s="6">
        <v>4</v>
      </c>
      <c r="D185" s="10">
        <f>C185/24</f>
        <v>0.16666666666666666</v>
      </c>
      <c r="E185" s="6" t="str">
        <f>VLOOKUP(B185,Ref!A:D,2,0)</f>
        <v>Yogesh Bhatt</v>
      </c>
      <c r="F185" s="6" t="str">
        <f>VLOOKUP(B185,Ref!A:D,3,0)</f>
        <v>Prakash Nair</v>
      </c>
      <c r="G185" s="6" t="str">
        <f>VLOOKUP(B185,Ref!A:D,4,0)</f>
        <v>Email Escalations</v>
      </c>
    </row>
    <row r="186" spans="1:7" x14ac:dyDescent="0.25">
      <c r="A186" s="15">
        <v>45785</v>
      </c>
      <c r="B186" s="6">
        <v>11026</v>
      </c>
      <c r="C186" s="6">
        <v>4</v>
      </c>
      <c r="D186" s="10">
        <f>C186/24</f>
        <v>0.16666666666666666</v>
      </c>
      <c r="E186" s="6" t="str">
        <f>VLOOKUP(B186,Ref!A:D,2,0)</f>
        <v>Yogesh Bhatt</v>
      </c>
      <c r="F186" s="6" t="str">
        <f>VLOOKUP(B186,Ref!A:D,3,0)</f>
        <v>Prakash Nair</v>
      </c>
      <c r="G186" s="6" t="str">
        <f>VLOOKUP(B186,Ref!A:D,4,0)</f>
        <v>Email Escalations</v>
      </c>
    </row>
    <row r="187" spans="1:7" x14ac:dyDescent="0.25">
      <c r="A187" s="15">
        <v>45786</v>
      </c>
      <c r="B187" s="6">
        <v>11026</v>
      </c>
      <c r="C187" s="6">
        <v>4</v>
      </c>
      <c r="D187" s="10">
        <f>C187/24</f>
        <v>0.16666666666666666</v>
      </c>
      <c r="E187" s="6" t="str">
        <f>VLOOKUP(B187,Ref!A:D,2,0)</f>
        <v>Yogesh Bhatt</v>
      </c>
      <c r="F187" s="6" t="str">
        <f>VLOOKUP(B187,Ref!A:D,3,0)</f>
        <v>Prakash Nair</v>
      </c>
      <c r="G187" s="6" t="str">
        <f>VLOOKUP(B187,Ref!A:D,4,0)</f>
        <v>Email Escalations</v>
      </c>
    </row>
    <row r="188" spans="1:7" x14ac:dyDescent="0.25">
      <c r="A188" s="15">
        <v>45789</v>
      </c>
      <c r="B188" s="6">
        <v>11026</v>
      </c>
      <c r="C188" s="6">
        <v>4</v>
      </c>
      <c r="D188" s="10">
        <f>C188/24</f>
        <v>0.16666666666666666</v>
      </c>
      <c r="E188" s="6" t="str">
        <f>VLOOKUP(B188,Ref!A:D,2,0)</f>
        <v>Yogesh Bhatt</v>
      </c>
      <c r="F188" s="6" t="str">
        <f>VLOOKUP(B188,Ref!A:D,3,0)</f>
        <v>Prakash Nair</v>
      </c>
      <c r="G188" s="6" t="str">
        <f>VLOOKUP(B188,Ref!A:D,4,0)</f>
        <v>Email Escalations</v>
      </c>
    </row>
    <row r="189" spans="1:7" x14ac:dyDescent="0.25">
      <c r="A189" s="15">
        <v>45790</v>
      </c>
      <c r="B189" s="6">
        <v>11026</v>
      </c>
      <c r="C189" s="6">
        <v>1</v>
      </c>
      <c r="D189" s="10">
        <f>C189/24</f>
        <v>4.1666666666666664E-2</v>
      </c>
      <c r="E189" s="6" t="str">
        <f>VLOOKUP(B189,Ref!A:D,2,0)</f>
        <v>Yogesh Bhatt</v>
      </c>
      <c r="F189" s="6" t="str">
        <f>VLOOKUP(B189,Ref!A:D,3,0)</f>
        <v>Prakash Nair</v>
      </c>
      <c r="G189" s="6" t="str">
        <f>VLOOKUP(B189,Ref!A:D,4,0)</f>
        <v>Email Escalations</v>
      </c>
    </row>
    <row r="190" spans="1:7" x14ac:dyDescent="0.25">
      <c r="A190" s="15">
        <v>45778</v>
      </c>
      <c r="B190" s="6">
        <v>11027</v>
      </c>
      <c r="C190" s="6">
        <v>4</v>
      </c>
      <c r="D190" s="10">
        <f>C190/24</f>
        <v>0.16666666666666666</v>
      </c>
      <c r="E190" s="6" t="str">
        <f>VLOOKUP(B190,Ref!A:D,2,0)</f>
        <v>Zara Shaikh</v>
      </c>
      <c r="F190" s="6" t="str">
        <f>VLOOKUP(B190,Ref!A:D,3,0)</f>
        <v>Prakash Nair</v>
      </c>
      <c r="G190" s="6" t="str">
        <f>VLOOKUP(B190,Ref!A:D,4,0)</f>
        <v>Email Escalations</v>
      </c>
    </row>
    <row r="191" spans="1:7" x14ac:dyDescent="0.25">
      <c r="A191" s="15">
        <v>45779</v>
      </c>
      <c r="B191" s="6">
        <v>11027</v>
      </c>
      <c r="C191" s="6">
        <v>4</v>
      </c>
      <c r="D191" s="10">
        <f>C191/24</f>
        <v>0.16666666666666666</v>
      </c>
      <c r="E191" s="6" t="str">
        <f>VLOOKUP(B191,Ref!A:D,2,0)</f>
        <v>Zara Shaikh</v>
      </c>
      <c r="F191" s="6" t="str">
        <f>VLOOKUP(B191,Ref!A:D,3,0)</f>
        <v>Prakash Nair</v>
      </c>
      <c r="G191" s="6" t="str">
        <f>VLOOKUP(B191,Ref!A:D,4,0)</f>
        <v>Email Escalations</v>
      </c>
    </row>
    <row r="192" spans="1:7" x14ac:dyDescent="0.25">
      <c r="A192" s="15">
        <v>45782</v>
      </c>
      <c r="B192" s="6">
        <v>11027</v>
      </c>
      <c r="C192" s="6">
        <v>4</v>
      </c>
      <c r="D192" s="10">
        <f>C192/24</f>
        <v>0.16666666666666666</v>
      </c>
      <c r="E192" s="6" t="str">
        <f>VLOOKUP(B192,Ref!A:D,2,0)</f>
        <v>Zara Shaikh</v>
      </c>
      <c r="F192" s="6" t="str">
        <f>VLOOKUP(B192,Ref!A:D,3,0)</f>
        <v>Prakash Nair</v>
      </c>
      <c r="G192" s="6" t="str">
        <f>VLOOKUP(B192,Ref!A:D,4,0)</f>
        <v>Email Escalations</v>
      </c>
    </row>
    <row r="193" spans="1:7" x14ac:dyDescent="0.25">
      <c r="A193" s="15">
        <v>45783</v>
      </c>
      <c r="B193" s="6">
        <v>11027</v>
      </c>
      <c r="C193" s="6">
        <v>4</v>
      </c>
      <c r="D193" s="10">
        <f>C193/24</f>
        <v>0.16666666666666666</v>
      </c>
      <c r="E193" s="6" t="str">
        <f>VLOOKUP(B193,Ref!A:D,2,0)</f>
        <v>Zara Shaikh</v>
      </c>
      <c r="F193" s="6" t="str">
        <f>VLOOKUP(B193,Ref!A:D,3,0)</f>
        <v>Prakash Nair</v>
      </c>
      <c r="G193" s="6" t="str">
        <f>VLOOKUP(B193,Ref!A:D,4,0)</f>
        <v>Email Escalations</v>
      </c>
    </row>
    <row r="194" spans="1:7" x14ac:dyDescent="0.25">
      <c r="A194" s="15">
        <v>45784</v>
      </c>
      <c r="B194" s="6">
        <v>11027</v>
      </c>
      <c r="C194" s="6">
        <v>3</v>
      </c>
      <c r="D194" s="10">
        <f>C194/24</f>
        <v>0.125</v>
      </c>
      <c r="E194" s="6" t="str">
        <f>VLOOKUP(B194,Ref!A:D,2,0)</f>
        <v>Zara Shaikh</v>
      </c>
      <c r="F194" s="6" t="str">
        <f>VLOOKUP(B194,Ref!A:D,3,0)</f>
        <v>Prakash Nair</v>
      </c>
      <c r="G194" s="6" t="str">
        <f>VLOOKUP(B194,Ref!A:D,4,0)</f>
        <v>Email Escalations</v>
      </c>
    </row>
    <row r="195" spans="1:7" x14ac:dyDescent="0.25">
      <c r="A195" s="15">
        <v>45778</v>
      </c>
      <c r="B195" s="6">
        <v>11028</v>
      </c>
      <c r="C195" s="6">
        <v>4</v>
      </c>
      <c r="D195" s="10">
        <f>C195/24</f>
        <v>0.16666666666666666</v>
      </c>
      <c r="E195" s="6" t="str">
        <f>VLOOKUP(B195,Ref!A:D,2,0)</f>
        <v>Amaan Rizvi</v>
      </c>
      <c r="F195" s="6" t="str">
        <f>VLOOKUP(B195,Ref!A:D,3,0)</f>
        <v>Prakash Nair</v>
      </c>
      <c r="G195" s="6" t="str">
        <f>VLOOKUP(B195,Ref!A:D,4,0)</f>
        <v>Email Escalations</v>
      </c>
    </row>
    <row r="196" spans="1:7" x14ac:dyDescent="0.25">
      <c r="A196" s="15">
        <v>45779</v>
      </c>
      <c r="B196" s="6">
        <v>11028</v>
      </c>
      <c r="C196" s="6">
        <v>4</v>
      </c>
      <c r="D196" s="10">
        <f>C196/24</f>
        <v>0.16666666666666666</v>
      </c>
      <c r="E196" s="6" t="str">
        <f>VLOOKUP(B196,Ref!A:D,2,0)</f>
        <v>Amaan Rizvi</v>
      </c>
      <c r="F196" s="6" t="str">
        <f>VLOOKUP(B196,Ref!A:D,3,0)</f>
        <v>Prakash Nair</v>
      </c>
      <c r="G196" s="6" t="str">
        <f>VLOOKUP(B196,Ref!A:D,4,0)</f>
        <v>Email Escalations</v>
      </c>
    </row>
    <row r="197" spans="1:7" x14ac:dyDescent="0.25">
      <c r="A197" s="15">
        <v>45782</v>
      </c>
      <c r="B197" s="6">
        <v>11028</v>
      </c>
      <c r="C197" s="6">
        <v>4</v>
      </c>
      <c r="D197" s="10">
        <f>C197/24</f>
        <v>0.16666666666666666</v>
      </c>
      <c r="E197" s="6" t="str">
        <f>VLOOKUP(B197,Ref!A:D,2,0)</f>
        <v>Amaan Rizvi</v>
      </c>
      <c r="F197" s="6" t="str">
        <f>VLOOKUP(B197,Ref!A:D,3,0)</f>
        <v>Prakash Nair</v>
      </c>
      <c r="G197" s="6" t="str">
        <f>VLOOKUP(B197,Ref!A:D,4,0)</f>
        <v>Email Escalations</v>
      </c>
    </row>
    <row r="198" spans="1:7" x14ac:dyDescent="0.25">
      <c r="A198" s="15">
        <v>45783</v>
      </c>
      <c r="B198" s="6">
        <v>11028</v>
      </c>
      <c r="C198" s="6">
        <v>4</v>
      </c>
      <c r="D198" s="10">
        <f>C198/24</f>
        <v>0.16666666666666666</v>
      </c>
      <c r="E198" s="6" t="str">
        <f>VLOOKUP(B198,Ref!A:D,2,0)</f>
        <v>Amaan Rizvi</v>
      </c>
      <c r="F198" s="6" t="str">
        <f>VLOOKUP(B198,Ref!A:D,3,0)</f>
        <v>Prakash Nair</v>
      </c>
      <c r="G198" s="6" t="str">
        <f>VLOOKUP(B198,Ref!A:D,4,0)</f>
        <v>Email Escalations</v>
      </c>
    </row>
    <row r="199" spans="1:7" x14ac:dyDescent="0.25">
      <c r="A199" s="15">
        <v>45784</v>
      </c>
      <c r="B199" s="6">
        <v>11028</v>
      </c>
      <c r="C199" s="6">
        <v>4</v>
      </c>
      <c r="D199" s="10">
        <f>C199/24</f>
        <v>0.16666666666666666</v>
      </c>
      <c r="E199" s="6" t="str">
        <f>VLOOKUP(B199,Ref!A:D,2,0)</f>
        <v>Amaan Rizvi</v>
      </c>
      <c r="F199" s="6" t="str">
        <f>VLOOKUP(B199,Ref!A:D,3,0)</f>
        <v>Prakash Nair</v>
      </c>
      <c r="G199" s="6" t="str">
        <f>VLOOKUP(B199,Ref!A:D,4,0)</f>
        <v>Email Escalations</v>
      </c>
    </row>
    <row r="200" spans="1:7" x14ac:dyDescent="0.25">
      <c r="A200" s="15">
        <v>45785</v>
      </c>
      <c r="B200" s="6">
        <v>11028</v>
      </c>
      <c r="C200" s="6">
        <v>4</v>
      </c>
      <c r="D200" s="10">
        <f>C200/24</f>
        <v>0.16666666666666666</v>
      </c>
      <c r="E200" s="6" t="str">
        <f>VLOOKUP(B200,Ref!A:D,2,0)</f>
        <v>Amaan Rizvi</v>
      </c>
      <c r="F200" s="6" t="str">
        <f>VLOOKUP(B200,Ref!A:D,3,0)</f>
        <v>Prakash Nair</v>
      </c>
      <c r="G200" s="6" t="str">
        <f>VLOOKUP(B200,Ref!A:D,4,0)</f>
        <v>Email Escalations</v>
      </c>
    </row>
    <row r="201" spans="1:7" x14ac:dyDescent="0.25">
      <c r="A201" s="15">
        <v>45786</v>
      </c>
      <c r="B201" s="6">
        <v>11028</v>
      </c>
      <c r="C201" s="6">
        <v>4</v>
      </c>
      <c r="D201" s="10">
        <f>C201/24</f>
        <v>0.16666666666666666</v>
      </c>
      <c r="E201" s="6" t="str">
        <f>VLOOKUP(B201,Ref!A:D,2,0)</f>
        <v>Amaan Rizvi</v>
      </c>
      <c r="F201" s="6" t="str">
        <f>VLOOKUP(B201,Ref!A:D,3,0)</f>
        <v>Prakash Nair</v>
      </c>
      <c r="G201" s="6" t="str">
        <f>VLOOKUP(B201,Ref!A:D,4,0)</f>
        <v>Email Escalations</v>
      </c>
    </row>
    <row r="202" spans="1:7" x14ac:dyDescent="0.25">
      <c r="A202" s="15">
        <v>45789</v>
      </c>
      <c r="B202" s="6">
        <v>11028</v>
      </c>
      <c r="C202" s="6">
        <v>4</v>
      </c>
      <c r="D202" s="10">
        <f>C202/24</f>
        <v>0.16666666666666666</v>
      </c>
      <c r="E202" s="6" t="str">
        <f>VLOOKUP(B202,Ref!A:D,2,0)</f>
        <v>Amaan Rizvi</v>
      </c>
      <c r="F202" s="6" t="str">
        <f>VLOOKUP(B202,Ref!A:D,3,0)</f>
        <v>Prakash Nair</v>
      </c>
      <c r="G202" s="6" t="str">
        <f>VLOOKUP(B202,Ref!A:D,4,0)</f>
        <v>Email Escalations</v>
      </c>
    </row>
    <row r="203" spans="1:7" x14ac:dyDescent="0.25">
      <c r="A203" s="15">
        <v>45790</v>
      </c>
      <c r="B203" s="6">
        <v>11028</v>
      </c>
      <c r="C203" s="6">
        <v>4</v>
      </c>
      <c r="D203" s="10">
        <f>C203/24</f>
        <v>0.16666666666666666</v>
      </c>
      <c r="E203" s="6" t="str">
        <f>VLOOKUP(B203,Ref!A:D,2,0)</f>
        <v>Amaan Rizvi</v>
      </c>
      <c r="F203" s="6" t="str">
        <f>VLOOKUP(B203,Ref!A:D,3,0)</f>
        <v>Prakash Nair</v>
      </c>
      <c r="G203" s="6" t="str">
        <f>VLOOKUP(B203,Ref!A:D,4,0)</f>
        <v>Email Escalations</v>
      </c>
    </row>
    <row r="204" spans="1:7" x14ac:dyDescent="0.25">
      <c r="A204" s="15">
        <v>45791</v>
      </c>
      <c r="B204" s="6">
        <v>11028</v>
      </c>
      <c r="C204" s="6">
        <v>4</v>
      </c>
      <c r="D204" s="10">
        <f>C204/24</f>
        <v>0.16666666666666666</v>
      </c>
      <c r="E204" s="6" t="str">
        <f>VLOOKUP(B204,Ref!A:D,2,0)</f>
        <v>Amaan Rizvi</v>
      </c>
      <c r="F204" s="6" t="str">
        <f>VLOOKUP(B204,Ref!A:D,3,0)</f>
        <v>Prakash Nair</v>
      </c>
      <c r="G204" s="6" t="str">
        <f>VLOOKUP(B204,Ref!A:D,4,0)</f>
        <v>Email Escalations</v>
      </c>
    </row>
    <row r="205" spans="1:7" x14ac:dyDescent="0.25">
      <c r="A205" s="15">
        <v>45792</v>
      </c>
      <c r="B205" s="6">
        <v>11028</v>
      </c>
      <c r="C205" s="6">
        <v>4</v>
      </c>
      <c r="D205" s="10">
        <f>C205/24</f>
        <v>0.16666666666666666</v>
      </c>
      <c r="E205" s="6" t="str">
        <f>VLOOKUP(B205,Ref!A:D,2,0)</f>
        <v>Amaan Rizvi</v>
      </c>
      <c r="F205" s="6" t="str">
        <f>VLOOKUP(B205,Ref!A:D,3,0)</f>
        <v>Prakash Nair</v>
      </c>
      <c r="G205" s="6" t="str">
        <f>VLOOKUP(B205,Ref!A:D,4,0)</f>
        <v>Email Escalations</v>
      </c>
    </row>
    <row r="206" spans="1:7" x14ac:dyDescent="0.25">
      <c r="A206" s="15">
        <v>45793</v>
      </c>
      <c r="B206" s="6">
        <v>11028</v>
      </c>
      <c r="C206" s="6">
        <v>1</v>
      </c>
      <c r="D206" s="10">
        <f>C206/24</f>
        <v>4.1666666666666664E-2</v>
      </c>
      <c r="E206" s="6" t="str">
        <f>VLOOKUP(B206,Ref!A:D,2,0)</f>
        <v>Amaan Rizvi</v>
      </c>
      <c r="F206" s="6" t="str">
        <f>VLOOKUP(B206,Ref!A:D,3,0)</f>
        <v>Prakash Nair</v>
      </c>
      <c r="G206" s="6" t="str">
        <f>VLOOKUP(B206,Ref!A:D,4,0)</f>
        <v>Email Escalations</v>
      </c>
    </row>
    <row r="207" spans="1:7" x14ac:dyDescent="0.25">
      <c r="A207" s="15">
        <v>45778</v>
      </c>
      <c r="B207" s="6">
        <v>11029</v>
      </c>
      <c r="C207" s="6">
        <v>4</v>
      </c>
      <c r="D207" s="10">
        <f>C207/24</f>
        <v>0.16666666666666666</v>
      </c>
      <c r="E207" s="6" t="str">
        <f>VLOOKUP(B207,Ref!A:D,2,0)</f>
        <v>Brinda Shah</v>
      </c>
      <c r="F207" s="6" t="str">
        <f>VLOOKUP(B207,Ref!A:D,3,0)</f>
        <v>Prakash Nair</v>
      </c>
      <c r="G207" s="6" t="str">
        <f>VLOOKUP(B207,Ref!A:D,4,0)</f>
        <v>Email Escalations</v>
      </c>
    </row>
    <row r="208" spans="1:7" x14ac:dyDescent="0.25">
      <c r="A208" s="15">
        <v>45779</v>
      </c>
      <c r="B208" s="6">
        <v>11029</v>
      </c>
      <c r="C208" s="6">
        <v>4</v>
      </c>
      <c r="D208" s="10">
        <f>C208/24</f>
        <v>0.16666666666666666</v>
      </c>
      <c r="E208" s="6" t="str">
        <f>VLOOKUP(B208,Ref!A:D,2,0)</f>
        <v>Brinda Shah</v>
      </c>
      <c r="F208" s="6" t="str">
        <f>VLOOKUP(B208,Ref!A:D,3,0)</f>
        <v>Prakash Nair</v>
      </c>
      <c r="G208" s="6" t="str">
        <f>VLOOKUP(B208,Ref!A:D,4,0)</f>
        <v>Email Escalations</v>
      </c>
    </row>
    <row r="209" spans="1:7" x14ac:dyDescent="0.25">
      <c r="A209" s="15">
        <v>45782</v>
      </c>
      <c r="B209" s="6">
        <v>11029</v>
      </c>
      <c r="C209" s="6">
        <v>4</v>
      </c>
      <c r="D209" s="10">
        <f>C209/24</f>
        <v>0.16666666666666666</v>
      </c>
      <c r="E209" s="6" t="str">
        <f>VLOOKUP(B209,Ref!A:D,2,0)</f>
        <v>Brinda Shah</v>
      </c>
      <c r="F209" s="6" t="str">
        <f>VLOOKUP(B209,Ref!A:D,3,0)</f>
        <v>Prakash Nair</v>
      </c>
      <c r="G209" s="6" t="str">
        <f>VLOOKUP(B209,Ref!A:D,4,0)</f>
        <v>Email Escalations</v>
      </c>
    </row>
    <row r="210" spans="1:7" x14ac:dyDescent="0.25">
      <c r="A210" s="15">
        <v>45783</v>
      </c>
      <c r="B210" s="6">
        <v>11029</v>
      </c>
      <c r="C210" s="6">
        <v>1</v>
      </c>
      <c r="D210" s="10">
        <f>C210/24</f>
        <v>4.1666666666666664E-2</v>
      </c>
      <c r="E210" s="6" t="str">
        <f>VLOOKUP(B210,Ref!A:D,2,0)</f>
        <v>Brinda Shah</v>
      </c>
      <c r="F210" s="6" t="str">
        <f>VLOOKUP(B210,Ref!A:D,3,0)</f>
        <v>Prakash Nair</v>
      </c>
      <c r="G210" s="6" t="str">
        <f>VLOOKUP(B210,Ref!A:D,4,0)</f>
        <v>Email Escalations</v>
      </c>
    </row>
    <row r="211" spans="1:7" x14ac:dyDescent="0.25">
      <c r="A211" s="15">
        <v>45778</v>
      </c>
      <c r="B211" s="6">
        <v>11030</v>
      </c>
      <c r="C211" s="6">
        <v>4</v>
      </c>
      <c r="D211" s="10">
        <f>C211/24</f>
        <v>0.16666666666666666</v>
      </c>
      <c r="E211" s="6" t="str">
        <f>VLOOKUP(B211,Ref!A:D,2,0)</f>
        <v>Chirag Modi</v>
      </c>
      <c r="F211" s="6" t="str">
        <f>VLOOKUP(B211,Ref!A:D,3,0)</f>
        <v>Prakash Nair</v>
      </c>
      <c r="G211" s="6" t="str">
        <f>VLOOKUP(B211,Ref!A:D,4,0)</f>
        <v>Email Escalations</v>
      </c>
    </row>
    <row r="212" spans="1:7" x14ac:dyDescent="0.25">
      <c r="A212" s="15">
        <v>45779</v>
      </c>
      <c r="B212" s="6">
        <v>11030</v>
      </c>
      <c r="C212" s="6">
        <v>4</v>
      </c>
      <c r="D212" s="10">
        <f>C212/24</f>
        <v>0.16666666666666666</v>
      </c>
      <c r="E212" s="6" t="str">
        <f>VLOOKUP(B212,Ref!A:D,2,0)</f>
        <v>Chirag Modi</v>
      </c>
      <c r="F212" s="6" t="str">
        <f>VLOOKUP(B212,Ref!A:D,3,0)</f>
        <v>Prakash Nair</v>
      </c>
      <c r="G212" s="6" t="str">
        <f>VLOOKUP(B212,Ref!A:D,4,0)</f>
        <v>Email Escalations</v>
      </c>
    </row>
    <row r="213" spans="1:7" x14ac:dyDescent="0.25">
      <c r="A213" s="15">
        <v>45782</v>
      </c>
      <c r="B213" s="6">
        <v>11030</v>
      </c>
      <c r="C213" s="6">
        <v>4</v>
      </c>
      <c r="D213" s="10">
        <f>C213/24</f>
        <v>0.16666666666666666</v>
      </c>
      <c r="E213" s="6" t="str">
        <f>VLOOKUP(B213,Ref!A:D,2,0)</f>
        <v>Chirag Modi</v>
      </c>
      <c r="F213" s="6" t="str">
        <f>VLOOKUP(B213,Ref!A:D,3,0)</f>
        <v>Prakash Nair</v>
      </c>
      <c r="G213" s="6" t="str">
        <f>VLOOKUP(B213,Ref!A:D,4,0)</f>
        <v>Email Escalations</v>
      </c>
    </row>
    <row r="214" spans="1:7" x14ac:dyDescent="0.25">
      <c r="A214" s="15">
        <v>45783</v>
      </c>
      <c r="B214" s="6">
        <v>11030</v>
      </c>
      <c r="C214" s="6">
        <v>4</v>
      </c>
      <c r="D214" s="10">
        <f>C214/24</f>
        <v>0.16666666666666666</v>
      </c>
      <c r="E214" s="6" t="str">
        <f>VLOOKUP(B214,Ref!A:D,2,0)</f>
        <v>Chirag Modi</v>
      </c>
      <c r="F214" s="6" t="str">
        <f>VLOOKUP(B214,Ref!A:D,3,0)</f>
        <v>Prakash Nair</v>
      </c>
      <c r="G214" s="6" t="str">
        <f>VLOOKUP(B214,Ref!A:D,4,0)</f>
        <v>Email Escalations</v>
      </c>
    </row>
    <row r="215" spans="1:7" x14ac:dyDescent="0.25">
      <c r="A215" s="15">
        <v>45784</v>
      </c>
      <c r="B215" s="6">
        <v>11030</v>
      </c>
      <c r="C215" s="6">
        <v>4</v>
      </c>
      <c r="D215" s="10">
        <f>C215/24</f>
        <v>0.16666666666666666</v>
      </c>
      <c r="E215" s="6" t="str">
        <f>VLOOKUP(B215,Ref!A:D,2,0)</f>
        <v>Chirag Modi</v>
      </c>
      <c r="F215" s="6" t="str">
        <f>VLOOKUP(B215,Ref!A:D,3,0)</f>
        <v>Prakash Nair</v>
      </c>
      <c r="G215" s="6" t="str">
        <f>VLOOKUP(B215,Ref!A:D,4,0)</f>
        <v>Email Escalations</v>
      </c>
    </row>
    <row r="216" spans="1:7" x14ac:dyDescent="0.25">
      <c r="A216" s="15">
        <v>45785</v>
      </c>
      <c r="B216" s="6">
        <v>11030</v>
      </c>
      <c r="C216" s="6">
        <v>4</v>
      </c>
      <c r="D216" s="10">
        <f>C216/24</f>
        <v>0.16666666666666666</v>
      </c>
      <c r="E216" s="6" t="str">
        <f>VLOOKUP(B216,Ref!A:D,2,0)</f>
        <v>Chirag Modi</v>
      </c>
      <c r="F216" s="6" t="str">
        <f>VLOOKUP(B216,Ref!A:D,3,0)</f>
        <v>Prakash Nair</v>
      </c>
      <c r="G216" s="6" t="str">
        <f>VLOOKUP(B216,Ref!A:D,4,0)</f>
        <v>Email Escalations</v>
      </c>
    </row>
    <row r="217" spans="1:7" x14ac:dyDescent="0.25">
      <c r="A217" s="15">
        <v>45786</v>
      </c>
      <c r="B217" s="6">
        <v>11030</v>
      </c>
      <c r="C217" s="6">
        <v>2</v>
      </c>
      <c r="D217" s="10">
        <f>C217/24</f>
        <v>8.3333333333333329E-2</v>
      </c>
      <c r="E217" s="6" t="str">
        <f>VLOOKUP(B217,Ref!A:D,2,0)</f>
        <v>Chirag Modi</v>
      </c>
      <c r="F217" s="6" t="str">
        <f>VLOOKUP(B217,Ref!A:D,3,0)</f>
        <v>Prakash Nair</v>
      </c>
      <c r="G217" s="6" t="str">
        <f>VLOOKUP(B217,Ref!A:D,4,0)</f>
        <v>Email Escalations</v>
      </c>
    </row>
    <row r="218" spans="1:7" x14ac:dyDescent="0.25">
      <c r="A218" s="15">
        <v>45778</v>
      </c>
      <c r="B218" s="6">
        <v>11031</v>
      </c>
      <c r="C218" s="6">
        <v>4</v>
      </c>
      <c r="D218" s="10">
        <f>C218/24</f>
        <v>0.16666666666666666</v>
      </c>
      <c r="E218" s="6" t="str">
        <f>VLOOKUP(B218,Ref!A:D,2,0)</f>
        <v>Devika Nair</v>
      </c>
      <c r="F218" s="6" t="str">
        <f>VLOOKUP(B218,Ref!A:D,3,0)</f>
        <v>Shalini Rao</v>
      </c>
      <c r="G218" s="6" t="str">
        <f>VLOOKUP(B218,Ref!A:D,4,0)</f>
        <v>Sales Inbound</v>
      </c>
    </row>
    <row r="219" spans="1:7" x14ac:dyDescent="0.25">
      <c r="A219" s="15">
        <v>45779</v>
      </c>
      <c r="B219" s="6">
        <v>11031</v>
      </c>
      <c r="C219" s="6">
        <v>4</v>
      </c>
      <c r="D219" s="10">
        <f>C219/24</f>
        <v>0.16666666666666666</v>
      </c>
      <c r="E219" s="6" t="str">
        <f>VLOOKUP(B219,Ref!A:D,2,0)</f>
        <v>Devika Nair</v>
      </c>
      <c r="F219" s="6" t="str">
        <f>VLOOKUP(B219,Ref!A:D,3,0)</f>
        <v>Shalini Rao</v>
      </c>
      <c r="G219" s="6" t="str">
        <f>VLOOKUP(B219,Ref!A:D,4,0)</f>
        <v>Sales Inbound</v>
      </c>
    </row>
    <row r="220" spans="1:7" x14ac:dyDescent="0.25">
      <c r="A220" s="15">
        <v>45782</v>
      </c>
      <c r="B220" s="6">
        <v>11031</v>
      </c>
      <c r="C220" s="6">
        <v>4</v>
      </c>
      <c r="D220" s="10">
        <f>C220/24</f>
        <v>0.16666666666666666</v>
      </c>
      <c r="E220" s="6" t="str">
        <f>VLOOKUP(B220,Ref!A:D,2,0)</f>
        <v>Devika Nair</v>
      </c>
      <c r="F220" s="6" t="str">
        <f>VLOOKUP(B220,Ref!A:D,3,0)</f>
        <v>Shalini Rao</v>
      </c>
      <c r="G220" s="6" t="str">
        <f>VLOOKUP(B220,Ref!A:D,4,0)</f>
        <v>Sales Inbound</v>
      </c>
    </row>
    <row r="221" spans="1:7" x14ac:dyDescent="0.25">
      <c r="A221" s="15">
        <v>45783</v>
      </c>
      <c r="B221" s="6">
        <v>11031</v>
      </c>
      <c r="C221" s="6">
        <v>4</v>
      </c>
      <c r="D221" s="10">
        <f>C221/24</f>
        <v>0.16666666666666666</v>
      </c>
      <c r="E221" s="6" t="str">
        <f>VLOOKUP(B221,Ref!A:D,2,0)</f>
        <v>Devika Nair</v>
      </c>
      <c r="F221" s="6" t="str">
        <f>VLOOKUP(B221,Ref!A:D,3,0)</f>
        <v>Shalini Rao</v>
      </c>
      <c r="G221" s="6" t="str">
        <f>VLOOKUP(B221,Ref!A:D,4,0)</f>
        <v>Sales Inbound</v>
      </c>
    </row>
    <row r="222" spans="1:7" x14ac:dyDescent="0.25">
      <c r="A222" s="15">
        <v>45784</v>
      </c>
      <c r="B222" s="6">
        <v>11031</v>
      </c>
      <c r="C222" s="6">
        <v>4</v>
      </c>
      <c r="D222" s="10">
        <f>C222/24</f>
        <v>0.16666666666666666</v>
      </c>
      <c r="E222" s="6" t="str">
        <f>VLOOKUP(B222,Ref!A:D,2,0)</f>
        <v>Devika Nair</v>
      </c>
      <c r="F222" s="6" t="str">
        <f>VLOOKUP(B222,Ref!A:D,3,0)</f>
        <v>Shalini Rao</v>
      </c>
      <c r="G222" s="6" t="str">
        <f>VLOOKUP(B222,Ref!A:D,4,0)</f>
        <v>Sales Inbound</v>
      </c>
    </row>
    <row r="223" spans="1:7" x14ac:dyDescent="0.25">
      <c r="A223" s="15">
        <v>45785</v>
      </c>
      <c r="B223" s="6">
        <v>11031</v>
      </c>
      <c r="C223" s="6">
        <v>4</v>
      </c>
      <c r="D223" s="10">
        <f>C223/24</f>
        <v>0.16666666666666666</v>
      </c>
      <c r="E223" s="6" t="str">
        <f>VLOOKUP(B223,Ref!A:D,2,0)</f>
        <v>Devika Nair</v>
      </c>
      <c r="F223" s="6" t="str">
        <f>VLOOKUP(B223,Ref!A:D,3,0)</f>
        <v>Shalini Rao</v>
      </c>
      <c r="G223" s="6" t="str">
        <f>VLOOKUP(B223,Ref!A:D,4,0)</f>
        <v>Sales Inbound</v>
      </c>
    </row>
    <row r="224" spans="1:7" x14ac:dyDescent="0.25">
      <c r="A224" s="15">
        <v>45786</v>
      </c>
      <c r="B224" s="6">
        <v>11031</v>
      </c>
      <c r="C224" s="6">
        <v>4</v>
      </c>
      <c r="D224" s="10">
        <f>C224/24</f>
        <v>0.16666666666666666</v>
      </c>
      <c r="E224" s="6" t="str">
        <f>VLOOKUP(B224,Ref!A:D,2,0)</f>
        <v>Devika Nair</v>
      </c>
      <c r="F224" s="6" t="str">
        <f>VLOOKUP(B224,Ref!A:D,3,0)</f>
        <v>Shalini Rao</v>
      </c>
      <c r="G224" s="6" t="str">
        <f>VLOOKUP(B224,Ref!A:D,4,0)</f>
        <v>Sales Inbound</v>
      </c>
    </row>
    <row r="225" spans="1:7" x14ac:dyDescent="0.25">
      <c r="A225" s="15">
        <v>45789</v>
      </c>
      <c r="B225" s="6">
        <v>11031</v>
      </c>
      <c r="C225" s="6">
        <v>4</v>
      </c>
      <c r="D225" s="10">
        <f>C225/24</f>
        <v>0.16666666666666666</v>
      </c>
      <c r="E225" s="6" t="str">
        <f>VLOOKUP(B225,Ref!A:D,2,0)</f>
        <v>Devika Nair</v>
      </c>
      <c r="F225" s="6" t="str">
        <f>VLOOKUP(B225,Ref!A:D,3,0)</f>
        <v>Shalini Rao</v>
      </c>
      <c r="G225" s="6" t="str">
        <f>VLOOKUP(B225,Ref!A:D,4,0)</f>
        <v>Sales Inbound</v>
      </c>
    </row>
    <row r="226" spans="1:7" x14ac:dyDescent="0.25">
      <c r="A226" s="15">
        <v>45790</v>
      </c>
      <c r="B226" s="6">
        <v>11031</v>
      </c>
      <c r="C226" s="6">
        <v>4</v>
      </c>
      <c r="D226" s="10">
        <f>C226/24</f>
        <v>0.16666666666666666</v>
      </c>
      <c r="E226" s="6" t="str">
        <f>VLOOKUP(B226,Ref!A:D,2,0)</f>
        <v>Devika Nair</v>
      </c>
      <c r="F226" s="6" t="str">
        <f>VLOOKUP(B226,Ref!A:D,3,0)</f>
        <v>Shalini Rao</v>
      </c>
      <c r="G226" s="6" t="str">
        <f>VLOOKUP(B226,Ref!A:D,4,0)</f>
        <v>Sales Inbound</v>
      </c>
    </row>
    <row r="227" spans="1:7" x14ac:dyDescent="0.25">
      <c r="A227" s="15">
        <v>45791</v>
      </c>
      <c r="B227" s="6">
        <v>11031</v>
      </c>
      <c r="C227" s="6">
        <v>3</v>
      </c>
      <c r="D227" s="10">
        <f>C227/24</f>
        <v>0.125</v>
      </c>
      <c r="E227" s="6" t="str">
        <f>VLOOKUP(B227,Ref!A:D,2,0)</f>
        <v>Devika Nair</v>
      </c>
      <c r="F227" s="6" t="str">
        <f>VLOOKUP(B227,Ref!A:D,3,0)</f>
        <v>Shalini Rao</v>
      </c>
      <c r="G227" s="6" t="str">
        <f>VLOOKUP(B227,Ref!A:D,4,0)</f>
        <v>Sales Inbound</v>
      </c>
    </row>
    <row r="228" spans="1:7" x14ac:dyDescent="0.25">
      <c r="A228" s="15">
        <v>45778</v>
      </c>
      <c r="B228" s="6">
        <v>11032</v>
      </c>
      <c r="C228" s="6">
        <v>4</v>
      </c>
      <c r="D228" s="10">
        <f>C228/24</f>
        <v>0.16666666666666666</v>
      </c>
      <c r="E228" s="6" t="str">
        <f>VLOOKUP(B228,Ref!A:D,2,0)</f>
        <v>Edwin Thomas</v>
      </c>
      <c r="F228" s="6" t="str">
        <f>VLOOKUP(B228,Ref!A:D,3,0)</f>
        <v>Shalini Rao</v>
      </c>
      <c r="G228" s="6" t="str">
        <f>VLOOKUP(B228,Ref!A:D,4,0)</f>
        <v>Sales Inbound</v>
      </c>
    </row>
    <row r="229" spans="1:7" x14ac:dyDescent="0.25">
      <c r="A229" s="15">
        <v>45779</v>
      </c>
      <c r="B229" s="6">
        <v>11032</v>
      </c>
      <c r="C229" s="6">
        <v>4</v>
      </c>
      <c r="D229" s="10">
        <f>C229/24</f>
        <v>0.16666666666666666</v>
      </c>
      <c r="E229" s="6" t="str">
        <f>VLOOKUP(B229,Ref!A:D,2,0)</f>
        <v>Edwin Thomas</v>
      </c>
      <c r="F229" s="6" t="str">
        <f>VLOOKUP(B229,Ref!A:D,3,0)</f>
        <v>Shalini Rao</v>
      </c>
      <c r="G229" s="6" t="str">
        <f>VLOOKUP(B229,Ref!A:D,4,0)</f>
        <v>Sales Inbound</v>
      </c>
    </row>
    <row r="230" spans="1:7" x14ac:dyDescent="0.25">
      <c r="A230" s="15">
        <v>45782</v>
      </c>
      <c r="B230" s="6">
        <v>11032</v>
      </c>
      <c r="C230" s="6">
        <v>4</v>
      </c>
      <c r="D230" s="10">
        <f>C230/24</f>
        <v>0.16666666666666666</v>
      </c>
      <c r="E230" s="6" t="str">
        <f>VLOOKUP(B230,Ref!A:D,2,0)</f>
        <v>Edwin Thomas</v>
      </c>
      <c r="F230" s="6" t="str">
        <f>VLOOKUP(B230,Ref!A:D,3,0)</f>
        <v>Shalini Rao</v>
      </c>
      <c r="G230" s="6" t="str">
        <f>VLOOKUP(B230,Ref!A:D,4,0)</f>
        <v>Sales Inbound</v>
      </c>
    </row>
    <row r="231" spans="1:7" x14ac:dyDescent="0.25">
      <c r="A231" s="15">
        <v>45783</v>
      </c>
      <c r="B231" s="6">
        <v>11032</v>
      </c>
      <c r="C231" s="6">
        <v>2</v>
      </c>
      <c r="D231" s="10">
        <f>C231/24</f>
        <v>8.3333333333333329E-2</v>
      </c>
      <c r="E231" s="6" t="str">
        <f>VLOOKUP(B231,Ref!A:D,2,0)</f>
        <v>Edwin Thomas</v>
      </c>
      <c r="F231" s="6" t="str">
        <f>VLOOKUP(B231,Ref!A:D,3,0)</f>
        <v>Shalini Rao</v>
      </c>
      <c r="G231" s="6" t="str">
        <f>VLOOKUP(B231,Ref!A:D,4,0)</f>
        <v>Sales Inbound</v>
      </c>
    </row>
    <row r="232" spans="1:7" x14ac:dyDescent="0.25">
      <c r="A232" s="15">
        <v>45778</v>
      </c>
      <c r="B232" s="6">
        <v>11033</v>
      </c>
      <c r="C232" s="6">
        <v>4</v>
      </c>
      <c r="D232" s="10">
        <f>C232/24</f>
        <v>0.16666666666666666</v>
      </c>
      <c r="E232" s="6" t="str">
        <f>VLOOKUP(B232,Ref!A:D,2,0)</f>
        <v>Fatima Noor</v>
      </c>
      <c r="F232" s="6" t="str">
        <f>VLOOKUP(B232,Ref!A:D,3,0)</f>
        <v>Shalini Rao</v>
      </c>
      <c r="G232" s="6" t="str">
        <f>VLOOKUP(B232,Ref!A:D,4,0)</f>
        <v>Sales Inbound</v>
      </c>
    </row>
    <row r="233" spans="1:7" x14ac:dyDescent="0.25">
      <c r="A233" s="15">
        <v>45779</v>
      </c>
      <c r="B233" s="6">
        <v>11033</v>
      </c>
      <c r="C233" s="6">
        <v>4</v>
      </c>
      <c r="D233" s="10">
        <f>C233/24</f>
        <v>0.16666666666666666</v>
      </c>
      <c r="E233" s="6" t="str">
        <f>VLOOKUP(B233,Ref!A:D,2,0)</f>
        <v>Fatima Noor</v>
      </c>
      <c r="F233" s="6" t="str">
        <f>VLOOKUP(B233,Ref!A:D,3,0)</f>
        <v>Shalini Rao</v>
      </c>
      <c r="G233" s="6" t="str">
        <f>VLOOKUP(B233,Ref!A:D,4,0)</f>
        <v>Sales Inbound</v>
      </c>
    </row>
    <row r="234" spans="1:7" x14ac:dyDescent="0.25">
      <c r="A234" s="15">
        <v>45782</v>
      </c>
      <c r="B234" s="6">
        <v>11033</v>
      </c>
      <c r="C234" s="6">
        <v>4</v>
      </c>
      <c r="D234" s="10">
        <f>C234/24</f>
        <v>0.16666666666666666</v>
      </c>
      <c r="E234" s="6" t="str">
        <f>VLOOKUP(B234,Ref!A:D,2,0)</f>
        <v>Fatima Noor</v>
      </c>
      <c r="F234" s="6" t="str">
        <f>VLOOKUP(B234,Ref!A:D,3,0)</f>
        <v>Shalini Rao</v>
      </c>
      <c r="G234" s="6" t="str">
        <f>VLOOKUP(B234,Ref!A:D,4,0)</f>
        <v>Sales Inbound</v>
      </c>
    </row>
    <row r="235" spans="1:7" x14ac:dyDescent="0.25">
      <c r="A235" s="15">
        <v>45783</v>
      </c>
      <c r="B235" s="6">
        <v>11033</v>
      </c>
      <c r="C235" s="6">
        <v>4</v>
      </c>
      <c r="D235" s="10">
        <f>C235/24</f>
        <v>0.16666666666666666</v>
      </c>
      <c r="E235" s="6" t="str">
        <f>VLOOKUP(B235,Ref!A:D,2,0)</f>
        <v>Fatima Noor</v>
      </c>
      <c r="F235" s="6" t="str">
        <f>VLOOKUP(B235,Ref!A:D,3,0)</f>
        <v>Shalini Rao</v>
      </c>
      <c r="G235" s="6" t="str">
        <f>VLOOKUP(B235,Ref!A:D,4,0)</f>
        <v>Sales Inbound</v>
      </c>
    </row>
    <row r="236" spans="1:7" x14ac:dyDescent="0.25">
      <c r="A236" s="15">
        <v>45784</v>
      </c>
      <c r="B236" s="6">
        <v>11033</v>
      </c>
      <c r="C236" s="6">
        <v>4</v>
      </c>
      <c r="D236" s="10">
        <f>C236/24</f>
        <v>0.16666666666666666</v>
      </c>
      <c r="E236" s="6" t="str">
        <f>VLOOKUP(B236,Ref!A:D,2,0)</f>
        <v>Fatima Noor</v>
      </c>
      <c r="F236" s="6" t="str">
        <f>VLOOKUP(B236,Ref!A:D,3,0)</f>
        <v>Shalini Rao</v>
      </c>
      <c r="G236" s="6" t="str">
        <f>VLOOKUP(B236,Ref!A:D,4,0)</f>
        <v>Sales Inbound</v>
      </c>
    </row>
    <row r="237" spans="1:7" x14ac:dyDescent="0.25">
      <c r="A237" s="15">
        <v>45785</v>
      </c>
      <c r="B237" s="6">
        <v>11033</v>
      </c>
      <c r="C237" s="6">
        <v>4</v>
      </c>
      <c r="D237" s="10">
        <f>C237/24</f>
        <v>0.16666666666666666</v>
      </c>
      <c r="E237" s="6" t="str">
        <f>VLOOKUP(B237,Ref!A:D,2,0)</f>
        <v>Fatima Noor</v>
      </c>
      <c r="F237" s="6" t="str">
        <f>VLOOKUP(B237,Ref!A:D,3,0)</f>
        <v>Shalini Rao</v>
      </c>
      <c r="G237" s="6" t="str">
        <f>VLOOKUP(B237,Ref!A:D,4,0)</f>
        <v>Sales Inbound</v>
      </c>
    </row>
    <row r="238" spans="1:7" x14ac:dyDescent="0.25">
      <c r="A238" s="15">
        <v>45786</v>
      </c>
      <c r="B238" s="6">
        <v>11033</v>
      </c>
      <c r="C238" s="6">
        <v>4</v>
      </c>
      <c r="D238" s="10">
        <f>C238/24</f>
        <v>0.16666666666666666</v>
      </c>
      <c r="E238" s="6" t="str">
        <f>VLOOKUP(B238,Ref!A:D,2,0)</f>
        <v>Fatima Noor</v>
      </c>
      <c r="F238" s="6" t="str">
        <f>VLOOKUP(B238,Ref!A:D,3,0)</f>
        <v>Shalini Rao</v>
      </c>
      <c r="G238" s="6" t="str">
        <f>VLOOKUP(B238,Ref!A:D,4,0)</f>
        <v>Sales Inbound</v>
      </c>
    </row>
    <row r="239" spans="1:7" x14ac:dyDescent="0.25">
      <c r="A239" s="15">
        <v>45789</v>
      </c>
      <c r="B239" s="6">
        <v>11033</v>
      </c>
      <c r="C239" s="6">
        <v>2</v>
      </c>
      <c r="D239" s="10">
        <f>C239/24</f>
        <v>8.3333333333333329E-2</v>
      </c>
      <c r="E239" s="6" t="str">
        <f>VLOOKUP(B239,Ref!A:D,2,0)</f>
        <v>Fatima Noor</v>
      </c>
      <c r="F239" s="6" t="str">
        <f>VLOOKUP(B239,Ref!A:D,3,0)</f>
        <v>Shalini Rao</v>
      </c>
      <c r="G239" s="6" t="str">
        <f>VLOOKUP(B239,Ref!A:D,4,0)</f>
        <v>Sales Inbound</v>
      </c>
    </row>
    <row r="240" spans="1:7" x14ac:dyDescent="0.25">
      <c r="A240" s="15">
        <v>45778</v>
      </c>
      <c r="B240" s="6">
        <v>11034</v>
      </c>
      <c r="C240" s="6">
        <v>4</v>
      </c>
      <c r="D240" s="10">
        <f>C240/24</f>
        <v>0.16666666666666666</v>
      </c>
      <c r="E240" s="6" t="str">
        <f>VLOOKUP(B240,Ref!A:D,2,0)</f>
        <v>Gitesh Singh</v>
      </c>
      <c r="F240" s="6" t="str">
        <f>VLOOKUP(B240,Ref!A:D,3,0)</f>
        <v>Shalini Rao</v>
      </c>
      <c r="G240" s="6" t="str">
        <f>VLOOKUP(B240,Ref!A:D,4,0)</f>
        <v>Sales Inbound</v>
      </c>
    </row>
    <row r="241" spans="1:7" x14ac:dyDescent="0.25">
      <c r="A241" s="15">
        <v>45779</v>
      </c>
      <c r="B241" s="6">
        <v>11034</v>
      </c>
      <c r="C241" s="6">
        <v>4</v>
      </c>
      <c r="D241" s="10">
        <f>C241/24</f>
        <v>0.16666666666666666</v>
      </c>
      <c r="E241" s="6" t="str">
        <f>VLOOKUP(B241,Ref!A:D,2,0)</f>
        <v>Gitesh Singh</v>
      </c>
      <c r="F241" s="6" t="str">
        <f>VLOOKUP(B241,Ref!A:D,3,0)</f>
        <v>Shalini Rao</v>
      </c>
      <c r="G241" s="6" t="str">
        <f>VLOOKUP(B241,Ref!A:D,4,0)</f>
        <v>Sales Inbound</v>
      </c>
    </row>
    <row r="242" spans="1:7" x14ac:dyDescent="0.25">
      <c r="A242" s="15">
        <v>45782</v>
      </c>
      <c r="B242" s="6">
        <v>11034</v>
      </c>
      <c r="C242" s="6">
        <v>4</v>
      </c>
      <c r="D242" s="10">
        <f>C242/24</f>
        <v>0.16666666666666666</v>
      </c>
      <c r="E242" s="6" t="str">
        <f>VLOOKUP(B242,Ref!A:D,2,0)</f>
        <v>Gitesh Singh</v>
      </c>
      <c r="F242" s="6" t="str">
        <f>VLOOKUP(B242,Ref!A:D,3,0)</f>
        <v>Shalini Rao</v>
      </c>
      <c r="G242" s="6" t="str">
        <f>VLOOKUP(B242,Ref!A:D,4,0)</f>
        <v>Sales Inbound</v>
      </c>
    </row>
    <row r="243" spans="1:7" x14ac:dyDescent="0.25">
      <c r="A243" s="15">
        <v>45783</v>
      </c>
      <c r="B243" s="6">
        <v>11034</v>
      </c>
      <c r="C243" s="6">
        <v>4</v>
      </c>
      <c r="D243" s="10">
        <f>C243/24</f>
        <v>0.16666666666666666</v>
      </c>
      <c r="E243" s="6" t="str">
        <f>VLOOKUP(B243,Ref!A:D,2,0)</f>
        <v>Gitesh Singh</v>
      </c>
      <c r="F243" s="6" t="str">
        <f>VLOOKUP(B243,Ref!A:D,3,0)</f>
        <v>Shalini Rao</v>
      </c>
      <c r="G243" s="6" t="str">
        <f>VLOOKUP(B243,Ref!A:D,4,0)</f>
        <v>Sales Inbound</v>
      </c>
    </row>
    <row r="244" spans="1:7" x14ac:dyDescent="0.25">
      <c r="A244" s="15">
        <v>45784</v>
      </c>
      <c r="B244" s="6">
        <v>11034</v>
      </c>
      <c r="C244" s="6">
        <v>4</v>
      </c>
      <c r="D244" s="10">
        <f>C244/24</f>
        <v>0.16666666666666666</v>
      </c>
      <c r="E244" s="6" t="str">
        <f>VLOOKUP(B244,Ref!A:D,2,0)</f>
        <v>Gitesh Singh</v>
      </c>
      <c r="F244" s="6" t="str">
        <f>VLOOKUP(B244,Ref!A:D,3,0)</f>
        <v>Shalini Rao</v>
      </c>
      <c r="G244" s="6" t="str">
        <f>VLOOKUP(B244,Ref!A:D,4,0)</f>
        <v>Sales Inbound</v>
      </c>
    </row>
    <row r="245" spans="1:7" x14ac:dyDescent="0.25">
      <c r="A245" s="15">
        <v>45785</v>
      </c>
      <c r="B245" s="6">
        <v>11034</v>
      </c>
      <c r="C245" s="6">
        <v>4</v>
      </c>
      <c r="D245" s="10">
        <f>C245/24</f>
        <v>0.16666666666666666</v>
      </c>
      <c r="E245" s="6" t="str">
        <f>VLOOKUP(B245,Ref!A:D,2,0)</f>
        <v>Gitesh Singh</v>
      </c>
      <c r="F245" s="6" t="str">
        <f>VLOOKUP(B245,Ref!A:D,3,0)</f>
        <v>Shalini Rao</v>
      </c>
      <c r="G245" s="6" t="str">
        <f>VLOOKUP(B245,Ref!A:D,4,0)</f>
        <v>Sales Inbound</v>
      </c>
    </row>
    <row r="246" spans="1:7" x14ac:dyDescent="0.25">
      <c r="A246" s="15">
        <v>45778</v>
      </c>
      <c r="B246" s="6">
        <v>11035</v>
      </c>
      <c r="C246" s="6">
        <v>4</v>
      </c>
      <c r="D246" s="10">
        <f>C246/24</f>
        <v>0.16666666666666666</v>
      </c>
      <c r="E246" s="6" t="str">
        <f>VLOOKUP(B246,Ref!A:D,2,0)</f>
        <v>Heena Patel</v>
      </c>
      <c r="F246" s="6" t="str">
        <f>VLOOKUP(B246,Ref!A:D,3,0)</f>
        <v>Shalini Rao</v>
      </c>
      <c r="G246" s="6" t="str">
        <f>VLOOKUP(B246,Ref!A:D,4,0)</f>
        <v>Sales Inbound</v>
      </c>
    </row>
    <row r="247" spans="1:7" x14ac:dyDescent="0.25">
      <c r="A247" s="15">
        <v>45779</v>
      </c>
      <c r="B247" s="6">
        <v>11035</v>
      </c>
      <c r="C247" s="6">
        <v>4</v>
      </c>
      <c r="D247" s="10">
        <f>C247/24</f>
        <v>0.16666666666666666</v>
      </c>
      <c r="E247" s="6" t="str">
        <f>VLOOKUP(B247,Ref!A:D,2,0)</f>
        <v>Heena Patel</v>
      </c>
      <c r="F247" s="6" t="str">
        <f>VLOOKUP(B247,Ref!A:D,3,0)</f>
        <v>Shalini Rao</v>
      </c>
      <c r="G247" s="6" t="str">
        <f>VLOOKUP(B247,Ref!A:D,4,0)</f>
        <v>Sales Inbound</v>
      </c>
    </row>
    <row r="248" spans="1:7" x14ac:dyDescent="0.25">
      <c r="A248" s="15">
        <v>45782</v>
      </c>
      <c r="B248" s="6">
        <v>11035</v>
      </c>
      <c r="C248" s="6">
        <v>4</v>
      </c>
      <c r="D248" s="10">
        <f>C248/24</f>
        <v>0.16666666666666666</v>
      </c>
      <c r="E248" s="6" t="str">
        <f>VLOOKUP(B248,Ref!A:D,2,0)</f>
        <v>Heena Patel</v>
      </c>
      <c r="F248" s="6" t="str">
        <f>VLOOKUP(B248,Ref!A:D,3,0)</f>
        <v>Shalini Rao</v>
      </c>
      <c r="G248" s="6" t="str">
        <f>VLOOKUP(B248,Ref!A:D,4,0)</f>
        <v>Sales Inbound</v>
      </c>
    </row>
    <row r="249" spans="1:7" x14ac:dyDescent="0.25">
      <c r="A249" s="15">
        <v>45783</v>
      </c>
      <c r="B249" s="6">
        <v>11035</v>
      </c>
      <c r="C249" s="6">
        <v>4</v>
      </c>
      <c r="D249" s="10">
        <f>C249/24</f>
        <v>0.16666666666666666</v>
      </c>
      <c r="E249" s="6" t="str">
        <f>VLOOKUP(B249,Ref!A:D,2,0)</f>
        <v>Heena Patel</v>
      </c>
      <c r="F249" s="6" t="str">
        <f>VLOOKUP(B249,Ref!A:D,3,0)</f>
        <v>Shalini Rao</v>
      </c>
      <c r="G249" s="6" t="str">
        <f>VLOOKUP(B249,Ref!A:D,4,0)</f>
        <v>Sales Inbound</v>
      </c>
    </row>
    <row r="250" spans="1:7" x14ac:dyDescent="0.25">
      <c r="A250" s="15">
        <v>45784</v>
      </c>
      <c r="B250" s="6">
        <v>11035</v>
      </c>
      <c r="C250" s="6">
        <v>4</v>
      </c>
      <c r="D250" s="10">
        <f>C250/24</f>
        <v>0.16666666666666666</v>
      </c>
      <c r="E250" s="6" t="str">
        <f>VLOOKUP(B250,Ref!A:D,2,0)</f>
        <v>Heena Patel</v>
      </c>
      <c r="F250" s="6" t="str">
        <f>VLOOKUP(B250,Ref!A:D,3,0)</f>
        <v>Shalini Rao</v>
      </c>
      <c r="G250" s="6" t="str">
        <f>VLOOKUP(B250,Ref!A:D,4,0)</f>
        <v>Sales Inbound</v>
      </c>
    </row>
    <row r="251" spans="1:7" x14ac:dyDescent="0.25">
      <c r="A251" s="15">
        <v>45785</v>
      </c>
      <c r="B251" s="6">
        <v>11035</v>
      </c>
      <c r="C251" s="6">
        <v>1</v>
      </c>
      <c r="D251" s="10">
        <f>C251/24</f>
        <v>4.1666666666666664E-2</v>
      </c>
      <c r="E251" s="6" t="str">
        <f>VLOOKUP(B251,Ref!A:D,2,0)</f>
        <v>Heena Patel</v>
      </c>
      <c r="F251" s="6" t="str">
        <f>VLOOKUP(B251,Ref!A:D,3,0)</f>
        <v>Shalini Rao</v>
      </c>
      <c r="G251" s="6" t="str">
        <f>VLOOKUP(B251,Ref!A:D,4,0)</f>
        <v>Sales Inbound</v>
      </c>
    </row>
    <row r="252" spans="1:7" x14ac:dyDescent="0.25">
      <c r="A252" s="15">
        <v>45778</v>
      </c>
      <c r="B252" s="6">
        <v>11036</v>
      </c>
      <c r="C252" s="6">
        <v>4</v>
      </c>
      <c r="D252" s="10">
        <f>C252/24</f>
        <v>0.16666666666666666</v>
      </c>
      <c r="E252" s="6" t="str">
        <f>VLOOKUP(B252,Ref!A:D,2,0)</f>
        <v>Imran Shaikh</v>
      </c>
      <c r="F252" s="6" t="str">
        <f>VLOOKUP(B252,Ref!A:D,3,0)</f>
        <v>Shalini Rao</v>
      </c>
      <c r="G252" s="6" t="str">
        <f>VLOOKUP(B252,Ref!A:D,4,0)</f>
        <v>Sales Inbound</v>
      </c>
    </row>
    <row r="253" spans="1:7" x14ac:dyDescent="0.25">
      <c r="A253" s="15">
        <v>45779</v>
      </c>
      <c r="B253" s="6">
        <v>11036</v>
      </c>
      <c r="C253" s="6">
        <v>4</v>
      </c>
      <c r="D253" s="10">
        <f>C253/24</f>
        <v>0.16666666666666666</v>
      </c>
      <c r="E253" s="6" t="str">
        <f>VLOOKUP(B253,Ref!A:D,2,0)</f>
        <v>Imran Shaikh</v>
      </c>
      <c r="F253" s="6" t="str">
        <f>VLOOKUP(B253,Ref!A:D,3,0)</f>
        <v>Shalini Rao</v>
      </c>
      <c r="G253" s="6" t="str">
        <f>VLOOKUP(B253,Ref!A:D,4,0)</f>
        <v>Sales Inbound</v>
      </c>
    </row>
    <row r="254" spans="1:7" x14ac:dyDescent="0.25">
      <c r="A254" s="15">
        <v>45782</v>
      </c>
      <c r="B254" s="6">
        <v>11036</v>
      </c>
      <c r="C254" s="6">
        <v>4</v>
      </c>
      <c r="D254" s="10">
        <f>C254/24</f>
        <v>0.16666666666666666</v>
      </c>
      <c r="E254" s="6" t="str">
        <f>VLOOKUP(B254,Ref!A:D,2,0)</f>
        <v>Imran Shaikh</v>
      </c>
      <c r="F254" s="6" t="str">
        <f>VLOOKUP(B254,Ref!A:D,3,0)</f>
        <v>Shalini Rao</v>
      </c>
      <c r="G254" s="6" t="str">
        <f>VLOOKUP(B254,Ref!A:D,4,0)</f>
        <v>Sales Inbound</v>
      </c>
    </row>
    <row r="255" spans="1:7" x14ac:dyDescent="0.25">
      <c r="A255" s="15">
        <v>45783</v>
      </c>
      <c r="B255" s="6">
        <v>11036</v>
      </c>
      <c r="C255" s="6">
        <v>4</v>
      </c>
      <c r="D255" s="10">
        <f>C255/24</f>
        <v>0.16666666666666666</v>
      </c>
      <c r="E255" s="6" t="str">
        <f>VLOOKUP(B255,Ref!A:D,2,0)</f>
        <v>Imran Shaikh</v>
      </c>
      <c r="F255" s="6" t="str">
        <f>VLOOKUP(B255,Ref!A:D,3,0)</f>
        <v>Shalini Rao</v>
      </c>
      <c r="G255" s="6" t="str">
        <f>VLOOKUP(B255,Ref!A:D,4,0)</f>
        <v>Sales Inbound</v>
      </c>
    </row>
    <row r="256" spans="1:7" x14ac:dyDescent="0.25">
      <c r="A256" s="15">
        <v>45784</v>
      </c>
      <c r="B256" s="6">
        <v>11036</v>
      </c>
      <c r="C256" s="6">
        <v>4</v>
      </c>
      <c r="D256" s="10">
        <f>C256/24</f>
        <v>0.16666666666666666</v>
      </c>
      <c r="E256" s="6" t="str">
        <f>VLOOKUP(B256,Ref!A:D,2,0)</f>
        <v>Imran Shaikh</v>
      </c>
      <c r="F256" s="6" t="str">
        <f>VLOOKUP(B256,Ref!A:D,3,0)</f>
        <v>Shalini Rao</v>
      </c>
      <c r="G256" s="6" t="str">
        <f>VLOOKUP(B256,Ref!A:D,4,0)</f>
        <v>Sales Inbound</v>
      </c>
    </row>
    <row r="257" spans="1:7" x14ac:dyDescent="0.25">
      <c r="A257" s="15">
        <v>45785</v>
      </c>
      <c r="B257" s="6">
        <v>11036</v>
      </c>
      <c r="C257" s="6">
        <v>4</v>
      </c>
      <c r="D257" s="10">
        <f>C257/24</f>
        <v>0.16666666666666666</v>
      </c>
      <c r="E257" s="6" t="str">
        <f>VLOOKUP(B257,Ref!A:D,2,0)</f>
        <v>Imran Shaikh</v>
      </c>
      <c r="F257" s="6" t="str">
        <f>VLOOKUP(B257,Ref!A:D,3,0)</f>
        <v>Shalini Rao</v>
      </c>
      <c r="G257" s="6" t="str">
        <f>VLOOKUP(B257,Ref!A:D,4,0)</f>
        <v>Sales Inbound</v>
      </c>
    </row>
    <row r="258" spans="1:7" x14ac:dyDescent="0.25">
      <c r="A258" s="15">
        <v>45786</v>
      </c>
      <c r="B258" s="6">
        <v>11036</v>
      </c>
      <c r="C258" s="6">
        <v>4</v>
      </c>
      <c r="D258" s="10">
        <f>C258/24</f>
        <v>0.16666666666666666</v>
      </c>
      <c r="E258" s="6" t="str">
        <f>VLOOKUP(B258,Ref!A:D,2,0)</f>
        <v>Imran Shaikh</v>
      </c>
      <c r="F258" s="6" t="str">
        <f>VLOOKUP(B258,Ref!A:D,3,0)</f>
        <v>Shalini Rao</v>
      </c>
      <c r="G258" s="6" t="str">
        <f>VLOOKUP(B258,Ref!A:D,4,0)</f>
        <v>Sales Inbound</v>
      </c>
    </row>
    <row r="259" spans="1:7" x14ac:dyDescent="0.25">
      <c r="A259" s="15">
        <v>45789</v>
      </c>
      <c r="B259" s="6">
        <v>11036</v>
      </c>
      <c r="C259" s="6">
        <v>4</v>
      </c>
      <c r="D259" s="10">
        <f>C259/24</f>
        <v>0.16666666666666666</v>
      </c>
      <c r="E259" s="6" t="str">
        <f>VLOOKUP(B259,Ref!A:D,2,0)</f>
        <v>Imran Shaikh</v>
      </c>
      <c r="F259" s="6" t="str">
        <f>VLOOKUP(B259,Ref!A:D,3,0)</f>
        <v>Shalini Rao</v>
      </c>
      <c r="G259" s="6" t="str">
        <f>VLOOKUP(B259,Ref!A:D,4,0)</f>
        <v>Sales Inbound</v>
      </c>
    </row>
    <row r="260" spans="1:7" x14ac:dyDescent="0.25">
      <c r="A260" s="15">
        <v>45790</v>
      </c>
      <c r="B260" s="6">
        <v>11036</v>
      </c>
      <c r="C260" s="6">
        <v>4</v>
      </c>
      <c r="D260" s="10">
        <f>C260/24</f>
        <v>0.16666666666666666</v>
      </c>
      <c r="E260" s="6" t="str">
        <f>VLOOKUP(B260,Ref!A:D,2,0)</f>
        <v>Imran Shaikh</v>
      </c>
      <c r="F260" s="6" t="str">
        <f>VLOOKUP(B260,Ref!A:D,3,0)</f>
        <v>Shalini Rao</v>
      </c>
      <c r="G260" s="6" t="str">
        <f>VLOOKUP(B260,Ref!A:D,4,0)</f>
        <v>Sales Inbound</v>
      </c>
    </row>
    <row r="261" spans="1:7" x14ac:dyDescent="0.25">
      <c r="A261" s="15">
        <v>45791</v>
      </c>
      <c r="B261" s="6">
        <v>11036</v>
      </c>
      <c r="C261" s="6">
        <v>4</v>
      </c>
      <c r="D261" s="10">
        <f>C261/24</f>
        <v>0.16666666666666666</v>
      </c>
      <c r="E261" s="6" t="str">
        <f>VLOOKUP(B261,Ref!A:D,2,0)</f>
        <v>Imran Shaikh</v>
      </c>
      <c r="F261" s="6" t="str">
        <f>VLOOKUP(B261,Ref!A:D,3,0)</f>
        <v>Shalini Rao</v>
      </c>
      <c r="G261" s="6" t="str">
        <f>VLOOKUP(B261,Ref!A:D,4,0)</f>
        <v>Sales Inbound</v>
      </c>
    </row>
    <row r="262" spans="1:7" x14ac:dyDescent="0.25">
      <c r="A262" s="15">
        <v>45778</v>
      </c>
      <c r="B262" s="6">
        <v>11037</v>
      </c>
      <c r="C262" s="6">
        <v>4</v>
      </c>
      <c r="D262" s="10">
        <f>C262/24</f>
        <v>0.16666666666666666</v>
      </c>
      <c r="E262" s="6" t="str">
        <f>VLOOKUP(B262,Ref!A:D,2,0)</f>
        <v>Juhi Desai</v>
      </c>
      <c r="F262" s="6" t="str">
        <f>VLOOKUP(B262,Ref!A:D,3,0)</f>
        <v>Shalini Rao</v>
      </c>
      <c r="G262" s="6" t="str">
        <f>VLOOKUP(B262,Ref!A:D,4,0)</f>
        <v>Sales Inbound</v>
      </c>
    </row>
    <row r="263" spans="1:7" x14ac:dyDescent="0.25">
      <c r="A263" s="15">
        <v>45779</v>
      </c>
      <c r="B263" s="6">
        <v>11037</v>
      </c>
      <c r="C263" s="6">
        <v>4</v>
      </c>
      <c r="D263" s="10">
        <f>C263/24</f>
        <v>0.16666666666666666</v>
      </c>
      <c r="E263" s="6" t="str">
        <f>VLOOKUP(B263,Ref!A:D,2,0)</f>
        <v>Juhi Desai</v>
      </c>
      <c r="F263" s="6" t="str">
        <f>VLOOKUP(B263,Ref!A:D,3,0)</f>
        <v>Shalini Rao</v>
      </c>
      <c r="G263" s="6" t="str">
        <f>VLOOKUP(B263,Ref!A:D,4,0)</f>
        <v>Sales Inbound</v>
      </c>
    </row>
    <row r="264" spans="1:7" x14ac:dyDescent="0.25">
      <c r="A264" s="15">
        <v>45782</v>
      </c>
      <c r="B264" s="6">
        <v>11037</v>
      </c>
      <c r="C264" s="6">
        <v>4</v>
      </c>
      <c r="D264" s="10">
        <f>C264/24</f>
        <v>0.16666666666666666</v>
      </c>
      <c r="E264" s="6" t="str">
        <f>VLOOKUP(B264,Ref!A:D,2,0)</f>
        <v>Juhi Desai</v>
      </c>
      <c r="F264" s="6" t="str">
        <f>VLOOKUP(B264,Ref!A:D,3,0)</f>
        <v>Shalini Rao</v>
      </c>
      <c r="G264" s="6" t="str">
        <f>VLOOKUP(B264,Ref!A:D,4,0)</f>
        <v>Sales Inbound</v>
      </c>
    </row>
    <row r="265" spans="1:7" x14ac:dyDescent="0.25">
      <c r="A265" s="15">
        <v>45783</v>
      </c>
      <c r="B265" s="6">
        <v>11037</v>
      </c>
      <c r="C265" s="6">
        <v>4</v>
      </c>
      <c r="D265" s="10">
        <f>C265/24</f>
        <v>0.16666666666666666</v>
      </c>
      <c r="E265" s="6" t="str">
        <f>VLOOKUP(B265,Ref!A:D,2,0)</f>
        <v>Juhi Desai</v>
      </c>
      <c r="F265" s="6" t="str">
        <f>VLOOKUP(B265,Ref!A:D,3,0)</f>
        <v>Shalini Rao</v>
      </c>
      <c r="G265" s="6" t="str">
        <f>VLOOKUP(B265,Ref!A:D,4,0)</f>
        <v>Sales Inbound</v>
      </c>
    </row>
    <row r="266" spans="1:7" x14ac:dyDescent="0.25">
      <c r="A266" s="15">
        <v>45784</v>
      </c>
      <c r="B266" s="6">
        <v>11037</v>
      </c>
      <c r="C266" s="6">
        <v>4</v>
      </c>
      <c r="D266" s="10">
        <f>C266/24</f>
        <v>0.16666666666666666</v>
      </c>
      <c r="E266" s="6" t="str">
        <f>VLOOKUP(B266,Ref!A:D,2,0)</f>
        <v>Juhi Desai</v>
      </c>
      <c r="F266" s="6" t="str">
        <f>VLOOKUP(B266,Ref!A:D,3,0)</f>
        <v>Shalini Rao</v>
      </c>
      <c r="G266" s="6" t="str">
        <f>VLOOKUP(B266,Ref!A:D,4,0)</f>
        <v>Sales Inbound</v>
      </c>
    </row>
    <row r="267" spans="1:7" x14ac:dyDescent="0.25">
      <c r="A267" s="15">
        <v>45785</v>
      </c>
      <c r="B267" s="6">
        <v>11037</v>
      </c>
      <c r="C267" s="6">
        <v>4</v>
      </c>
      <c r="D267" s="10">
        <f>C267/24</f>
        <v>0.16666666666666666</v>
      </c>
      <c r="E267" s="6" t="str">
        <f>VLOOKUP(B267,Ref!A:D,2,0)</f>
        <v>Juhi Desai</v>
      </c>
      <c r="F267" s="6" t="str">
        <f>VLOOKUP(B267,Ref!A:D,3,0)</f>
        <v>Shalini Rao</v>
      </c>
      <c r="G267" s="6" t="str">
        <f>VLOOKUP(B267,Ref!A:D,4,0)</f>
        <v>Sales Inbound</v>
      </c>
    </row>
    <row r="268" spans="1:7" x14ac:dyDescent="0.25">
      <c r="A268" s="15">
        <v>45786</v>
      </c>
      <c r="B268" s="6">
        <v>11037</v>
      </c>
      <c r="C268" s="6">
        <v>4</v>
      </c>
      <c r="D268" s="10">
        <f>C268/24</f>
        <v>0.16666666666666666</v>
      </c>
      <c r="E268" s="6" t="str">
        <f>VLOOKUP(B268,Ref!A:D,2,0)</f>
        <v>Juhi Desai</v>
      </c>
      <c r="F268" s="6" t="str">
        <f>VLOOKUP(B268,Ref!A:D,3,0)</f>
        <v>Shalini Rao</v>
      </c>
      <c r="G268" s="6" t="str">
        <f>VLOOKUP(B268,Ref!A:D,4,0)</f>
        <v>Sales Inbound</v>
      </c>
    </row>
    <row r="269" spans="1:7" x14ac:dyDescent="0.25">
      <c r="A269" s="15">
        <v>45789</v>
      </c>
      <c r="B269" s="6">
        <v>11037</v>
      </c>
      <c r="C269" s="6">
        <v>3</v>
      </c>
      <c r="D269" s="10">
        <f>C269/24</f>
        <v>0.125</v>
      </c>
      <c r="E269" s="6" t="str">
        <f>VLOOKUP(B269,Ref!A:D,2,0)</f>
        <v>Juhi Desai</v>
      </c>
      <c r="F269" s="6" t="str">
        <f>VLOOKUP(B269,Ref!A:D,3,0)</f>
        <v>Shalini Rao</v>
      </c>
      <c r="G269" s="6" t="str">
        <f>VLOOKUP(B269,Ref!A:D,4,0)</f>
        <v>Sales Inbound</v>
      </c>
    </row>
    <row r="270" spans="1:7" x14ac:dyDescent="0.25">
      <c r="A270" s="15">
        <v>45778</v>
      </c>
      <c r="B270" s="6">
        <v>11038</v>
      </c>
      <c r="C270" s="6">
        <v>4</v>
      </c>
      <c r="D270" s="10">
        <f>C270/24</f>
        <v>0.16666666666666666</v>
      </c>
      <c r="E270" s="6" t="str">
        <f>VLOOKUP(B270,Ref!A:D,2,0)</f>
        <v>Karan Malhotra</v>
      </c>
      <c r="F270" s="6" t="str">
        <f>VLOOKUP(B270,Ref!A:D,3,0)</f>
        <v>Shalini Rao</v>
      </c>
      <c r="G270" s="6" t="str">
        <f>VLOOKUP(B270,Ref!A:D,4,0)</f>
        <v>Sales Inbound</v>
      </c>
    </row>
    <row r="271" spans="1:7" x14ac:dyDescent="0.25">
      <c r="A271" s="15">
        <v>45779</v>
      </c>
      <c r="B271" s="6">
        <v>11038</v>
      </c>
      <c r="C271" s="6">
        <v>4</v>
      </c>
      <c r="D271" s="10">
        <f>C271/24</f>
        <v>0.16666666666666666</v>
      </c>
      <c r="E271" s="6" t="str">
        <f>VLOOKUP(B271,Ref!A:D,2,0)</f>
        <v>Karan Malhotra</v>
      </c>
      <c r="F271" s="6" t="str">
        <f>VLOOKUP(B271,Ref!A:D,3,0)</f>
        <v>Shalini Rao</v>
      </c>
      <c r="G271" s="6" t="str">
        <f>VLOOKUP(B271,Ref!A:D,4,0)</f>
        <v>Sales Inbound</v>
      </c>
    </row>
    <row r="272" spans="1:7" x14ac:dyDescent="0.25">
      <c r="A272" s="15">
        <v>45782</v>
      </c>
      <c r="B272" s="6">
        <v>11038</v>
      </c>
      <c r="C272" s="6">
        <v>4</v>
      </c>
      <c r="D272" s="10">
        <f>C272/24</f>
        <v>0.16666666666666666</v>
      </c>
      <c r="E272" s="6" t="str">
        <f>VLOOKUP(B272,Ref!A:D,2,0)</f>
        <v>Karan Malhotra</v>
      </c>
      <c r="F272" s="6" t="str">
        <f>VLOOKUP(B272,Ref!A:D,3,0)</f>
        <v>Shalini Rao</v>
      </c>
      <c r="G272" s="6" t="str">
        <f>VLOOKUP(B272,Ref!A:D,4,0)</f>
        <v>Sales Inbound</v>
      </c>
    </row>
    <row r="273" spans="1:7" x14ac:dyDescent="0.25">
      <c r="A273" s="15">
        <v>45783</v>
      </c>
      <c r="B273" s="6">
        <v>11038</v>
      </c>
      <c r="C273" s="6">
        <v>4</v>
      </c>
      <c r="D273" s="10">
        <f>C273/24</f>
        <v>0.16666666666666666</v>
      </c>
      <c r="E273" s="6" t="str">
        <f>VLOOKUP(B273,Ref!A:D,2,0)</f>
        <v>Karan Malhotra</v>
      </c>
      <c r="F273" s="6" t="str">
        <f>VLOOKUP(B273,Ref!A:D,3,0)</f>
        <v>Shalini Rao</v>
      </c>
      <c r="G273" s="6" t="str">
        <f>VLOOKUP(B273,Ref!A:D,4,0)</f>
        <v>Sales Inbound</v>
      </c>
    </row>
    <row r="274" spans="1:7" x14ac:dyDescent="0.25">
      <c r="A274" s="15">
        <v>45778</v>
      </c>
      <c r="B274" s="6">
        <v>11039</v>
      </c>
      <c r="C274" s="6">
        <v>4</v>
      </c>
      <c r="D274" s="10">
        <f>C274/24</f>
        <v>0.16666666666666666</v>
      </c>
      <c r="E274" s="6" t="str">
        <f>VLOOKUP(B274,Ref!A:D,2,0)</f>
        <v>Lavina D’Costa</v>
      </c>
      <c r="F274" s="6" t="str">
        <f>VLOOKUP(B274,Ref!A:D,3,0)</f>
        <v>Shalini Rao</v>
      </c>
      <c r="G274" s="6" t="str">
        <f>VLOOKUP(B274,Ref!A:D,4,0)</f>
        <v>Sales Inbound</v>
      </c>
    </row>
    <row r="275" spans="1:7" x14ac:dyDescent="0.25">
      <c r="A275" s="15">
        <v>45779</v>
      </c>
      <c r="B275" s="6">
        <v>11039</v>
      </c>
      <c r="C275" s="6">
        <v>4</v>
      </c>
      <c r="D275" s="10">
        <f>C275/24</f>
        <v>0.16666666666666666</v>
      </c>
      <c r="E275" s="6" t="str">
        <f>VLOOKUP(B275,Ref!A:D,2,0)</f>
        <v>Lavina D’Costa</v>
      </c>
      <c r="F275" s="6" t="str">
        <f>VLOOKUP(B275,Ref!A:D,3,0)</f>
        <v>Shalini Rao</v>
      </c>
      <c r="G275" s="6" t="str">
        <f>VLOOKUP(B275,Ref!A:D,4,0)</f>
        <v>Sales Inbound</v>
      </c>
    </row>
    <row r="276" spans="1:7" x14ac:dyDescent="0.25">
      <c r="A276" s="15">
        <v>45782</v>
      </c>
      <c r="B276" s="6">
        <v>11039</v>
      </c>
      <c r="C276" s="6">
        <v>4</v>
      </c>
      <c r="D276" s="10">
        <f>C276/24</f>
        <v>0.16666666666666666</v>
      </c>
      <c r="E276" s="6" t="str">
        <f>VLOOKUP(B276,Ref!A:D,2,0)</f>
        <v>Lavina D’Costa</v>
      </c>
      <c r="F276" s="6" t="str">
        <f>VLOOKUP(B276,Ref!A:D,3,0)</f>
        <v>Shalini Rao</v>
      </c>
      <c r="G276" s="6" t="str">
        <f>VLOOKUP(B276,Ref!A:D,4,0)</f>
        <v>Sales Inbound</v>
      </c>
    </row>
    <row r="277" spans="1:7" x14ac:dyDescent="0.25">
      <c r="A277" s="15">
        <v>45783</v>
      </c>
      <c r="B277" s="6">
        <v>11039</v>
      </c>
      <c r="C277" s="6">
        <v>4</v>
      </c>
      <c r="D277" s="10">
        <f>C277/24</f>
        <v>0.16666666666666666</v>
      </c>
      <c r="E277" s="6" t="str">
        <f>VLOOKUP(B277,Ref!A:D,2,0)</f>
        <v>Lavina D’Costa</v>
      </c>
      <c r="F277" s="6" t="str">
        <f>VLOOKUP(B277,Ref!A:D,3,0)</f>
        <v>Shalini Rao</v>
      </c>
      <c r="G277" s="6" t="str">
        <f>VLOOKUP(B277,Ref!A:D,4,0)</f>
        <v>Sales Inbound</v>
      </c>
    </row>
    <row r="278" spans="1:7" x14ac:dyDescent="0.25">
      <c r="A278" s="15">
        <v>45784</v>
      </c>
      <c r="B278" s="6">
        <v>11039</v>
      </c>
      <c r="C278" s="6">
        <v>4</v>
      </c>
      <c r="D278" s="10">
        <f>C278/24</f>
        <v>0.16666666666666666</v>
      </c>
      <c r="E278" s="6" t="str">
        <f>VLOOKUP(B278,Ref!A:D,2,0)</f>
        <v>Lavina D’Costa</v>
      </c>
      <c r="F278" s="6" t="str">
        <f>VLOOKUP(B278,Ref!A:D,3,0)</f>
        <v>Shalini Rao</v>
      </c>
      <c r="G278" s="6" t="str">
        <f>VLOOKUP(B278,Ref!A:D,4,0)</f>
        <v>Sales Inbound</v>
      </c>
    </row>
    <row r="279" spans="1:7" x14ac:dyDescent="0.25">
      <c r="A279" s="15">
        <v>45785</v>
      </c>
      <c r="B279" s="6">
        <v>11039</v>
      </c>
      <c r="C279" s="6">
        <v>4</v>
      </c>
      <c r="D279" s="10">
        <f>C279/24</f>
        <v>0.16666666666666666</v>
      </c>
      <c r="E279" s="6" t="str">
        <f>VLOOKUP(B279,Ref!A:D,2,0)</f>
        <v>Lavina D’Costa</v>
      </c>
      <c r="F279" s="6" t="str">
        <f>VLOOKUP(B279,Ref!A:D,3,0)</f>
        <v>Shalini Rao</v>
      </c>
      <c r="G279" s="6" t="str">
        <f>VLOOKUP(B279,Ref!A:D,4,0)</f>
        <v>Sales Inbound</v>
      </c>
    </row>
    <row r="280" spans="1:7" x14ac:dyDescent="0.25">
      <c r="A280" s="15">
        <v>45786</v>
      </c>
      <c r="B280" s="6">
        <v>11039</v>
      </c>
      <c r="C280" s="6">
        <v>4</v>
      </c>
      <c r="D280" s="10">
        <f>C280/24</f>
        <v>0.16666666666666666</v>
      </c>
      <c r="E280" s="6" t="str">
        <f>VLOOKUP(B280,Ref!A:D,2,0)</f>
        <v>Lavina D’Costa</v>
      </c>
      <c r="F280" s="6" t="str">
        <f>VLOOKUP(B280,Ref!A:D,3,0)</f>
        <v>Shalini Rao</v>
      </c>
      <c r="G280" s="6" t="str">
        <f>VLOOKUP(B280,Ref!A:D,4,0)</f>
        <v>Sales Inbound</v>
      </c>
    </row>
    <row r="281" spans="1:7" x14ac:dyDescent="0.25">
      <c r="A281" s="15">
        <v>45789</v>
      </c>
      <c r="B281" s="6">
        <v>11039</v>
      </c>
      <c r="C281" s="6">
        <v>4</v>
      </c>
      <c r="D281" s="10">
        <f>C281/24</f>
        <v>0.16666666666666666</v>
      </c>
      <c r="E281" s="6" t="str">
        <f>VLOOKUP(B281,Ref!A:D,2,0)</f>
        <v>Lavina D’Costa</v>
      </c>
      <c r="F281" s="6" t="str">
        <f>VLOOKUP(B281,Ref!A:D,3,0)</f>
        <v>Shalini Rao</v>
      </c>
      <c r="G281" s="6" t="str">
        <f>VLOOKUP(B281,Ref!A:D,4,0)</f>
        <v>Sales Inbound</v>
      </c>
    </row>
    <row r="282" spans="1:7" x14ac:dyDescent="0.25">
      <c r="A282" s="15">
        <v>45790</v>
      </c>
      <c r="B282" s="6">
        <v>11039</v>
      </c>
      <c r="C282" s="6">
        <v>4</v>
      </c>
      <c r="D282" s="10">
        <f>C282/24</f>
        <v>0.16666666666666666</v>
      </c>
      <c r="E282" s="6" t="str">
        <f>VLOOKUP(B282,Ref!A:D,2,0)</f>
        <v>Lavina D’Costa</v>
      </c>
      <c r="F282" s="6" t="str">
        <f>VLOOKUP(B282,Ref!A:D,3,0)</f>
        <v>Shalini Rao</v>
      </c>
      <c r="G282" s="6" t="str">
        <f>VLOOKUP(B282,Ref!A:D,4,0)</f>
        <v>Sales Inbound</v>
      </c>
    </row>
    <row r="283" spans="1:7" x14ac:dyDescent="0.25">
      <c r="A283" s="15">
        <v>45791</v>
      </c>
      <c r="B283" s="6">
        <v>11039</v>
      </c>
      <c r="C283" s="6">
        <v>4</v>
      </c>
      <c r="D283" s="10">
        <f>C283/24</f>
        <v>0.16666666666666666</v>
      </c>
      <c r="E283" s="6" t="str">
        <f>VLOOKUP(B283,Ref!A:D,2,0)</f>
        <v>Lavina D’Costa</v>
      </c>
      <c r="F283" s="6" t="str">
        <f>VLOOKUP(B283,Ref!A:D,3,0)</f>
        <v>Shalini Rao</v>
      </c>
      <c r="G283" s="6" t="str">
        <f>VLOOKUP(B283,Ref!A:D,4,0)</f>
        <v>Sales Inbound</v>
      </c>
    </row>
    <row r="284" spans="1:7" x14ac:dyDescent="0.25">
      <c r="A284" s="15">
        <v>45792</v>
      </c>
      <c r="B284" s="6">
        <v>11039</v>
      </c>
      <c r="C284" s="6">
        <v>2</v>
      </c>
      <c r="D284" s="10">
        <f>C284/24</f>
        <v>8.3333333333333329E-2</v>
      </c>
      <c r="E284" s="6" t="str">
        <f>VLOOKUP(B284,Ref!A:D,2,0)</f>
        <v>Lavina D’Costa</v>
      </c>
      <c r="F284" s="6" t="str">
        <f>VLOOKUP(B284,Ref!A:D,3,0)</f>
        <v>Shalini Rao</v>
      </c>
      <c r="G284" s="6" t="str">
        <f>VLOOKUP(B284,Ref!A:D,4,0)</f>
        <v>Sales Inbound</v>
      </c>
    </row>
    <row r="285" spans="1:7" x14ac:dyDescent="0.25">
      <c r="A285" s="15">
        <v>45778</v>
      </c>
      <c r="B285" s="6">
        <v>11040</v>
      </c>
      <c r="C285" s="6">
        <v>4</v>
      </c>
      <c r="D285" s="10">
        <f>C285/24</f>
        <v>0.16666666666666666</v>
      </c>
      <c r="E285" s="6" t="str">
        <f>VLOOKUP(B285,Ref!A:D,2,0)</f>
        <v>Mohit Agarwal</v>
      </c>
      <c r="F285" s="6" t="str">
        <f>VLOOKUP(B285,Ref!A:D,3,0)</f>
        <v>Shalini Rao</v>
      </c>
      <c r="G285" s="6" t="str">
        <f>VLOOKUP(B285,Ref!A:D,4,0)</f>
        <v>Sales Inbound</v>
      </c>
    </row>
    <row r="286" spans="1:7" x14ac:dyDescent="0.25">
      <c r="A286" s="15">
        <v>45779</v>
      </c>
      <c r="B286" s="6">
        <v>11040</v>
      </c>
      <c r="C286" s="6">
        <v>4</v>
      </c>
      <c r="D286" s="10">
        <f>C286/24</f>
        <v>0.16666666666666666</v>
      </c>
      <c r="E286" s="6" t="str">
        <f>VLOOKUP(B286,Ref!A:D,2,0)</f>
        <v>Mohit Agarwal</v>
      </c>
      <c r="F286" s="6" t="str">
        <f>VLOOKUP(B286,Ref!A:D,3,0)</f>
        <v>Shalini Rao</v>
      </c>
      <c r="G286" s="6" t="str">
        <f>VLOOKUP(B286,Ref!A:D,4,0)</f>
        <v>Sales Inbound</v>
      </c>
    </row>
    <row r="287" spans="1:7" x14ac:dyDescent="0.25">
      <c r="A287" s="15">
        <v>45782</v>
      </c>
      <c r="B287" s="6">
        <v>11040</v>
      </c>
      <c r="C287" s="6">
        <v>4</v>
      </c>
      <c r="D287" s="10">
        <f>C287/24</f>
        <v>0.16666666666666666</v>
      </c>
      <c r="E287" s="6" t="str">
        <f>VLOOKUP(B287,Ref!A:D,2,0)</f>
        <v>Mohit Agarwal</v>
      </c>
      <c r="F287" s="6" t="str">
        <f>VLOOKUP(B287,Ref!A:D,3,0)</f>
        <v>Shalini Rao</v>
      </c>
      <c r="G287" s="6" t="str">
        <f>VLOOKUP(B287,Ref!A:D,4,0)</f>
        <v>Sales Inbound</v>
      </c>
    </row>
    <row r="288" spans="1:7" x14ac:dyDescent="0.25">
      <c r="A288" s="15">
        <v>45783</v>
      </c>
      <c r="B288" s="6">
        <v>11040</v>
      </c>
      <c r="C288" s="6">
        <v>4</v>
      </c>
      <c r="D288" s="10">
        <f>C288/24</f>
        <v>0.16666666666666666</v>
      </c>
      <c r="E288" s="6" t="str">
        <f>VLOOKUP(B288,Ref!A:D,2,0)</f>
        <v>Mohit Agarwal</v>
      </c>
      <c r="F288" s="6" t="str">
        <f>VLOOKUP(B288,Ref!A:D,3,0)</f>
        <v>Shalini Rao</v>
      </c>
      <c r="G288" s="6" t="str">
        <f>VLOOKUP(B288,Ref!A:D,4,0)</f>
        <v>Sales Inbound</v>
      </c>
    </row>
    <row r="289" spans="1:7" x14ac:dyDescent="0.25">
      <c r="A289" s="15">
        <v>45784</v>
      </c>
      <c r="B289" s="6">
        <v>11040</v>
      </c>
      <c r="C289" s="6">
        <v>4</v>
      </c>
      <c r="D289" s="10">
        <f>C289/24</f>
        <v>0.16666666666666666</v>
      </c>
      <c r="E289" s="6" t="str">
        <f>VLOOKUP(B289,Ref!A:D,2,0)</f>
        <v>Mohit Agarwal</v>
      </c>
      <c r="F289" s="6" t="str">
        <f>VLOOKUP(B289,Ref!A:D,3,0)</f>
        <v>Shalini Rao</v>
      </c>
      <c r="G289" s="6" t="str">
        <f>VLOOKUP(B289,Ref!A:D,4,0)</f>
        <v>Sales Inbound</v>
      </c>
    </row>
    <row r="290" spans="1:7" x14ac:dyDescent="0.25">
      <c r="A290" s="15">
        <v>45785</v>
      </c>
      <c r="B290" s="6">
        <v>11040</v>
      </c>
      <c r="C290" s="6">
        <v>4</v>
      </c>
      <c r="D290" s="10">
        <f>C290/24</f>
        <v>0.16666666666666666</v>
      </c>
      <c r="E290" s="6" t="str">
        <f>VLOOKUP(B290,Ref!A:D,2,0)</f>
        <v>Mohit Agarwal</v>
      </c>
      <c r="F290" s="6" t="str">
        <f>VLOOKUP(B290,Ref!A:D,3,0)</f>
        <v>Shalini Rao</v>
      </c>
      <c r="G290" s="6" t="str">
        <f>VLOOKUP(B290,Ref!A:D,4,0)</f>
        <v>Sales Inbound</v>
      </c>
    </row>
    <row r="291" spans="1:7" x14ac:dyDescent="0.25">
      <c r="A291" s="15">
        <v>45786</v>
      </c>
      <c r="B291" s="6">
        <v>11040</v>
      </c>
      <c r="C291" s="6">
        <v>4</v>
      </c>
      <c r="D291" s="10">
        <f>C291/24</f>
        <v>0.16666666666666666</v>
      </c>
      <c r="E291" s="6" t="str">
        <f>VLOOKUP(B291,Ref!A:D,2,0)</f>
        <v>Mohit Agarwal</v>
      </c>
      <c r="F291" s="6" t="str">
        <f>VLOOKUP(B291,Ref!A:D,3,0)</f>
        <v>Shalini Rao</v>
      </c>
      <c r="G291" s="6" t="str">
        <f>VLOOKUP(B291,Ref!A:D,4,0)</f>
        <v>Sales Inbound</v>
      </c>
    </row>
    <row r="292" spans="1:7" x14ac:dyDescent="0.25">
      <c r="A292" s="15">
        <v>45778</v>
      </c>
      <c r="B292" s="6">
        <v>11041</v>
      </c>
      <c r="C292" s="6">
        <v>4</v>
      </c>
      <c r="D292" s="10">
        <f>C292/24</f>
        <v>0.16666666666666666</v>
      </c>
      <c r="E292" s="6" t="str">
        <f>VLOOKUP(B292,Ref!A:D,2,0)</f>
        <v>Nikita Rana</v>
      </c>
      <c r="F292" s="6" t="str">
        <f>VLOOKUP(B292,Ref!A:D,3,0)</f>
        <v>Rakesh Sinha</v>
      </c>
      <c r="G292" s="6" t="str">
        <f>VLOOKUP(B292,Ref!A:D,4,0)</f>
        <v>Retention</v>
      </c>
    </row>
    <row r="293" spans="1:7" x14ac:dyDescent="0.25">
      <c r="A293" s="15">
        <v>45779</v>
      </c>
      <c r="B293" s="6">
        <v>11041</v>
      </c>
      <c r="C293" s="6">
        <v>4</v>
      </c>
      <c r="D293" s="10">
        <f>C293/24</f>
        <v>0.16666666666666666</v>
      </c>
      <c r="E293" s="6" t="str">
        <f>VLOOKUP(B293,Ref!A:D,2,0)</f>
        <v>Nikita Rana</v>
      </c>
      <c r="F293" s="6" t="str">
        <f>VLOOKUP(B293,Ref!A:D,3,0)</f>
        <v>Rakesh Sinha</v>
      </c>
      <c r="G293" s="6" t="str">
        <f>VLOOKUP(B293,Ref!A:D,4,0)</f>
        <v>Retention</v>
      </c>
    </row>
    <row r="294" spans="1:7" x14ac:dyDescent="0.25">
      <c r="A294" s="15">
        <v>45782</v>
      </c>
      <c r="B294" s="6">
        <v>11041</v>
      </c>
      <c r="C294" s="6">
        <v>4</v>
      </c>
      <c r="D294" s="10">
        <f>C294/24</f>
        <v>0.16666666666666666</v>
      </c>
      <c r="E294" s="6" t="str">
        <f>VLOOKUP(B294,Ref!A:D,2,0)</f>
        <v>Nikita Rana</v>
      </c>
      <c r="F294" s="6" t="str">
        <f>VLOOKUP(B294,Ref!A:D,3,0)</f>
        <v>Rakesh Sinha</v>
      </c>
      <c r="G294" s="6" t="str">
        <f>VLOOKUP(B294,Ref!A:D,4,0)</f>
        <v>Retention</v>
      </c>
    </row>
    <row r="295" spans="1:7" x14ac:dyDescent="0.25">
      <c r="A295" s="15">
        <v>45783</v>
      </c>
      <c r="B295" s="6">
        <v>11041</v>
      </c>
      <c r="C295" s="6">
        <v>4</v>
      </c>
      <c r="D295" s="10">
        <f>C295/24</f>
        <v>0.16666666666666666</v>
      </c>
      <c r="E295" s="6" t="str">
        <f>VLOOKUP(B295,Ref!A:D,2,0)</f>
        <v>Nikita Rana</v>
      </c>
      <c r="F295" s="6" t="str">
        <f>VLOOKUP(B295,Ref!A:D,3,0)</f>
        <v>Rakesh Sinha</v>
      </c>
      <c r="G295" s="6" t="str">
        <f>VLOOKUP(B295,Ref!A:D,4,0)</f>
        <v>Retention</v>
      </c>
    </row>
    <row r="296" spans="1:7" x14ac:dyDescent="0.25">
      <c r="A296" s="15">
        <v>45784</v>
      </c>
      <c r="B296" s="6">
        <v>11041</v>
      </c>
      <c r="C296" s="6">
        <v>4</v>
      </c>
      <c r="D296" s="10">
        <f>C296/24</f>
        <v>0.16666666666666666</v>
      </c>
      <c r="E296" s="6" t="str">
        <f>VLOOKUP(B296,Ref!A:D,2,0)</f>
        <v>Nikita Rana</v>
      </c>
      <c r="F296" s="6" t="str">
        <f>VLOOKUP(B296,Ref!A:D,3,0)</f>
        <v>Rakesh Sinha</v>
      </c>
      <c r="G296" s="6" t="str">
        <f>VLOOKUP(B296,Ref!A:D,4,0)</f>
        <v>Retention</v>
      </c>
    </row>
    <row r="297" spans="1:7" x14ac:dyDescent="0.25">
      <c r="A297" s="15">
        <v>45785</v>
      </c>
      <c r="B297" s="6">
        <v>11041</v>
      </c>
      <c r="C297" s="6">
        <v>4</v>
      </c>
      <c r="D297" s="10">
        <f>C297/24</f>
        <v>0.16666666666666666</v>
      </c>
      <c r="E297" s="6" t="str">
        <f>VLOOKUP(B297,Ref!A:D,2,0)</f>
        <v>Nikita Rana</v>
      </c>
      <c r="F297" s="6" t="str">
        <f>VLOOKUP(B297,Ref!A:D,3,0)</f>
        <v>Rakesh Sinha</v>
      </c>
      <c r="G297" s="6" t="str">
        <f>VLOOKUP(B297,Ref!A:D,4,0)</f>
        <v>Retention</v>
      </c>
    </row>
    <row r="298" spans="1:7" x14ac:dyDescent="0.25">
      <c r="A298" s="15">
        <v>45786</v>
      </c>
      <c r="B298" s="6">
        <v>11041</v>
      </c>
      <c r="C298" s="6">
        <v>4</v>
      </c>
      <c r="D298" s="10">
        <f>C298/24</f>
        <v>0.16666666666666666</v>
      </c>
      <c r="E298" s="6" t="str">
        <f>VLOOKUP(B298,Ref!A:D,2,0)</f>
        <v>Nikita Rana</v>
      </c>
      <c r="F298" s="6" t="str">
        <f>VLOOKUP(B298,Ref!A:D,3,0)</f>
        <v>Rakesh Sinha</v>
      </c>
      <c r="G298" s="6" t="str">
        <f>VLOOKUP(B298,Ref!A:D,4,0)</f>
        <v>Retention</v>
      </c>
    </row>
    <row r="299" spans="1:7" x14ac:dyDescent="0.25">
      <c r="A299" s="15">
        <v>45789</v>
      </c>
      <c r="B299" s="6">
        <v>11041</v>
      </c>
      <c r="C299" s="6">
        <v>4</v>
      </c>
      <c r="D299" s="10">
        <f>C299/24</f>
        <v>0.16666666666666666</v>
      </c>
      <c r="E299" s="6" t="str">
        <f>VLOOKUP(B299,Ref!A:D,2,0)</f>
        <v>Nikita Rana</v>
      </c>
      <c r="F299" s="6" t="str">
        <f>VLOOKUP(B299,Ref!A:D,3,0)</f>
        <v>Rakesh Sinha</v>
      </c>
      <c r="G299" s="6" t="str">
        <f>VLOOKUP(B299,Ref!A:D,4,0)</f>
        <v>Retention</v>
      </c>
    </row>
    <row r="300" spans="1:7" x14ac:dyDescent="0.25">
      <c r="A300" s="15">
        <v>45790</v>
      </c>
      <c r="B300" s="6">
        <v>11041</v>
      </c>
      <c r="C300" s="6">
        <v>4</v>
      </c>
      <c r="D300" s="10">
        <f>C300/24</f>
        <v>0.16666666666666666</v>
      </c>
      <c r="E300" s="6" t="str">
        <f>VLOOKUP(B300,Ref!A:D,2,0)</f>
        <v>Nikita Rana</v>
      </c>
      <c r="F300" s="6" t="str">
        <f>VLOOKUP(B300,Ref!A:D,3,0)</f>
        <v>Rakesh Sinha</v>
      </c>
      <c r="G300" s="6" t="str">
        <f>VLOOKUP(B300,Ref!A:D,4,0)</f>
        <v>Retention</v>
      </c>
    </row>
    <row r="301" spans="1:7" x14ac:dyDescent="0.25">
      <c r="A301" s="15">
        <v>45791</v>
      </c>
      <c r="B301" s="6">
        <v>11041</v>
      </c>
      <c r="C301" s="6">
        <v>1</v>
      </c>
      <c r="D301" s="10">
        <f>C301/24</f>
        <v>4.1666666666666664E-2</v>
      </c>
      <c r="E301" s="6" t="str">
        <f>VLOOKUP(B301,Ref!A:D,2,0)</f>
        <v>Nikita Rana</v>
      </c>
      <c r="F301" s="6" t="str">
        <f>VLOOKUP(B301,Ref!A:D,3,0)</f>
        <v>Rakesh Sinha</v>
      </c>
      <c r="G301" s="6" t="str">
        <f>VLOOKUP(B301,Ref!A:D,4,0)</f>
        <v>Retention</v>
      </c>
    </row>
    <row r="302" spans="1:7" x14ac:dyDescent="0.25">
      <c r="A302" s="15">
        <v>45778</v>
      </c>
      <c r="B302" s="6">
        <v>11042</v>
      </c>
      <c r="C302" s="6">
        <v>4</v>
      </c>
      <c r="D302" s="10">
        <f>C302/24</f>
        <v>0.16666666666666666</v>
      </c>
      <c r="E302" s="6" t="str">
        <f>VLOOKUP(B302,Ref!A:D,2,0)</f>
        <v>Om Deshmukh</v>
      </c>
      <c r="F302" s="6" t="str">
        <f>VLOOKUP(B302,Ref!A:D,3,0)</f>
        <v>Rakesh Sinha</v>
      </c>
      <c r="G302" s="6" t="str">
        <f>VLOOKUP(B302,Ref!A:D,4,0)</f>
        <v>Retention</v>
      </c>
    </row>
    <row r="303" spans="1:7" x14ac:dyDescent="0.25">
      <c r="A303" s="15">
        <v>45779</v>
      </c>
      <c r="B303" s="6">
        <v>11042</v>
      </c>
      <c r="C303" s="6">
        <v>4</v>
      </c>
      <c r="D303" s="10">
        <f>C303/24</f>
        <v>0.16666666666666666</v>
      </c>
      <c r="E303" s="6" t="str">
        <f>VLOOKUP(B303,Ref!A:D,2,0)</f>
        <v>Om Deshmukh</v>
      </c>
      <c r="F303" s="6" t="str">
        <f>VLOOKUP(B303,Ref!A:D,3,0)</f>
        <v>Rakesh Sinha</v>
      </c>
      <c r="G303" s="6" t="str">
        <f>VLOOKUP(B303,Ref!A:D,4,0)</f>
        <v>Retention</v>
      </c>
    </row>
    <row r="304" spans="1:7" x14ac:dyDescent="0.25">
      <c r="A304" s="15">
        <v>45782</v>
      </c>
      <c r="B304" s="6">
        <v>11042</v>
      </c>
      <c r="C304" s="6">
        <v>4</v>
      </c>
      <c r="D304" s="10">
        <f>C304/24</f>
        <v>0.16666666666666666</v>
      </c>
      <c r="E304" s="6" t="str">
        <f>VLOOKUP(B304,Ref!A:D,2,0)</f>
        <v>Om Deshmukh</v>
      </c>
      <c r="F304" s="6" t="str">
        <f>VLOOKUP(B304,Ref!A:D,3,0)</f>
        <v>Rakesh Sinha</v>
      </c>
      <c r="G304" s="6" t="str">
        <f>VLOOKUP(B304,Ref!A:D,4,0)</f>
        <v>Retention</v>
      </c>
    </row>
    <row r="305" spans="1:7" x14ac:dyDescent="0.25">
      <c r="A305" s="15">
        <v>45783</v>
      </c>
      <c r="B305" s="6">
        <v>11042</v>
      </c>
      <c r="C305" s="6">
        <v>4</v>
      </c>
      <c r="D305" s="10">
        <f>C305/24</f>
        <v>0.16666666666666666</v>
      </c>
      <c r="E305" s="6" t="str">
        <f>VLOOKUP(B305,Ref!A:D,2,0)</f>
        <v>Om Deshmukh</v>
      </c>
      <c r="F305" s="6" t="str">
        <f>VLOOKUP(B305,Ref!A:D,3,0)</f>
        <v>Rakesh Sinha</v>
      </c>
      <c r="G305" s="6" t="str">
        <f>VLOOKUP(B305,Ref!A:D,4,0)</f>
        <v>Retention</v>
      </c>
    </row>
    <row r="306" spans="1:7" x14ac:dyDescent="0.25">
      <c r="A306" s="15">
        <v>45784</v>
      </c>
      <c r="B306" s="6">
        <v>11042</v>
      </c>
      <c r="C306" s="6">
        <v>4</v>
      </c>
      <c r="D306" s="10">
        <f>C306/24</f>
        <v>0.16666666666666666</v>
      </c>
      <c r="E306" s="6" t="str">
        <f>VLOOKUP(B306,Ref!A:D,2,0)</f>
        <v>Om Deshmukh</v>
      </c>
      <c r="F306" s="6" t="str">
        <f>VLOOKUP(B306,Ref!A:D,3,0)</f>
        <v>Rakesh Sinha</v>
      </c>
      <c r="G306" s="6" t="str">
        <f>VLOOKUP(B306,Ref!A:D,4,0)</f>
        <v>Retention</v>
      </c>
    </row>
    <row r="307" spans="1:7" x14ac:dyDescent="0.25">
      <c r="A307" s="15">
        <v>45778</v>
      </c>
      <c r="B307" s="6">
        <v>11043</v>
      </c>
      <c r="C307" s="6">
        <v>4</v>
      </c>
      <c r="D307" s="10">
        <f>C307/24</f>
        <v>0.16666666666666666</v>
      </c>
      <c r="E307" s="6" t="str">
        <f>VLOOKUP(B307,Ref!A:D,2,0)</f>
        <v>Payal Trivedi</v>
      </c>
      <c r="F307" s="6" t="str">
        <f>VLOOKUP(B307,Ref!A:D,3,0)</f>
        <v>Rakesh Sinha</v>
      </c>
      <c r="G307" s="6" t="str">
        <f>VLOOKUP(B307,Ref!A:D,4,0)</f>
        <v>Retention</v>
      </c>
    </row>
    <row r="308" spans="1:7" x14ac:dyDescent="0.25">
      <c r="A308" s="15">
        <v>45779</v>
      </c>
      <c r="B308" s="6">
        <v>11043</v>
      </c>
      <c r="C308" s="6">
        <v>4</v>
      </c>
      <c r="D308" s="10">
        <f>C308/24</f>
        <v>0.16666666666666666</v>
      </c>
      <c r="E308" s="6" t="str">
        <f>VLOOKUP(B308,Ref!A:D,2,0)</f>
        <v>Payal Trivedi</v>
      </c>
      <c r="F308" s="6" t="str">
        <f>VLOOKUP(B308,Ref!A:D,3,0)</f>
        <v>Rakesh Sinha</v>
      </c>
      <c r="G308" s="6" t="str">
        <f>VLOOKUP(B308,Ref!A:D,4,0)</f>
        <v>Retention</v>
      </c>
    </row>
    <row r="309" spans="1:7" x14ac:dyDescent="0.25">
      <c r="A309" s="15">
        <v>45782</v>
      </c>
      <c r="B309" s="6">
        <v>11043</v>
      </c>
      <c r="C309" s="6">
        <v>2</v>
      </c>
      <c r="D309" s="10">
        <f>C309/24</f>
        <v>8.3333333333333329E-2</v>
      </c>
      <c r="E309" s="6" t="str">
        <f>VLOOKUP(B309,Ref!A:D,2,0)</f>
        <v>Payal Trivedi</v>
      </c>
      <c r="F309" s="6" t="str">
        <f>VLOOKUP(B309,Ref!A:D,3,0)</f>
        <v>Rakesh Sinha</v>
      </c>
      <c r="G309" s="6" t="str">
        <f>VLOOKUP(B309,Ref!A:D,4,0)</f>
        <v>Retention</v>
      </c>
    </row>
    <row r="310" spans="1:7" x14ac:dyDescent="0.25">
      <c r="A310" s="15">
        <v>45778</v>
      </c>
      <c r="B310" s="6">
        <v>11044</v>
      </c>
      <c r="C310" s="6">
        <v>4</v>
      </c>
      <c r="D310" s="10">
        <f>C310/24</f>
        <v>0.16666666666666666</v>
      </c>
      <c r="E310" s="6" t="str">
        <f>VLOOKUP(B310,Ref!A:D,2,0)</f>
        <v>Qurat Hussain</v>
      </c>
      <c r="F310" s="6" t="str">
        <f>VLOOKUP(B310,Ref!A:D,3,0)</f>
        <v>Rakesh Sinha</v>
      </c>
      <c r="G310" s="6" t="str">
        <f>VLOOKUP(B310,Ref!A:D,4,0)</f>
        <v>Retention</v>
      </c>
    </row>
    <row r="311" spans="1:7" x14ac:dyDescent="0.25">
      <c r="A311" s="15">
        <v>45779</v>
      </c>
      <c r="B311" s="6">
        <v>11044</v>
      </c>
      <c r="C311" s="6">
        <v>4</v>
      </c>
      <c r="D311" s="10">
        <f>C311/24</f>
        <v>0.16666666666666666</v>
      </c>
      <c r="E311" s="6" t="str">
        <f>VLOOKUP(B311,Ref!A:D,2,0)</f>
        <v>Qurat Hussain</v>
      </c>
      <c r="F311" s="6" t="str">
        <f>VLOOKUP(B311,Ref!A:D,3,0)</f>
        <v>Rakesh Sinha</v>
      </c>
      <c r="G311" s="6" t="str">
        <f>VLOOKUP(B311,Ref!A:D,4,0)</f>
        <v>Retention</v>
      </c>
    </row>
    <row r="312" spans="1:7" x14ac:dyDescent="0.25">
      <c r="A312" s="15">
        <v>45782</v>
      </c>
      <c r="B312" s="6">
        <v>11044</v>
      </c>
      <c r="C312" s="6">
        <v>4</v>
      </c>
      <c r="D312" s="10">
        <f>C312/24</f>
        <v>0.16666666666666666</v>
      </c>
      <c r="E312" s="6" t="str">
        <f>VLOOKUP(B312,Ref!A:D,2,0)</f>
        <v>Qurat Hussain</v>
      </c>
      <c r="F312" s="6" t="str">
        <f>VLOOKUP(B312,Ref!A:D,3,0)</f>
        <v>Rakesh Sinha</v>
      </c>
      <c r="G312" s="6" t="str">
        <f>VLOOKUP(B312,Ref!A:D,4,0)</f>
        <v>Retention</v>
      </c>
    </row>
    <row r="313" spans="1:7" x14ac:dyDescent="0.25">
      <c r="A313" s="15">
        <v>45783</v>
      </c>
      <c r="B313" s="6">
        <v>11044</v>
      </c>
      <c r="C313" s="6">
        <v>4</v>
      </c>
      <c r="D313" s="10">
        <f>C313/24</f>
        <v>0.16666666666666666</v>
      </c>
      <c r="E313" s="6" t="str">
        <f>VLOOKUP(B313,Ref!A:D,2,0)</f>
        <v>Qurat Hussain</v>
      </c>
      <c r="F313" s="6" t="str">
        <f>VLOOKUP(B313,Ref!A:D,3,0)</f>
        <v>Rakesh Sinha</v>
      </c>
      <c r="G313" s="6" t="str">
        <f>VLOOKUP(B313,Ref!A:D,4,0)</f>
        <v>Retention</v>
      </c>
    </row>
    <row r="314" spans="1:7" x14ac:dyDescent="0.25">
      <c r="A314" s="15">
        <v>45784</v>
      </c>
      <c r="B314" s="6">
        <v>11044</v>
      </c>
      <c r="C314" s="6">
        <v>4</v>
      </c>
      <c r="D314" s="10">
        <f>C314/24</f>
        <v>0.16666666666666666</v>
      </c>
      <c r="E314" s="6" t="str">
        <f>VLOOKUP(B314,Ref!A:D,2,0)</f>
        <v>Qurat Hussain</v>
      </c>
      <c r="F314" s="6" t="str">
        <f>VLOOKUP(B314,Ref!A:D,3,0)</f>
        <v>Rakesh Sinha</v>
      </c>
      <c r="G314" s="6" t="str">
        <f>VLOOKUP(B314,Ref!A:D,4,0)</f>
        <v>Retention</v>
      </c>
    </row>
    <row r="315" spans="1:7" x14ac:dyDescent="0.25">
      <c r="A315" s="15">
        <v>45785</v>
      </c>
      <c r="B315" s="6">
        <v>11044</v>
      </c>
      <c r="C315" s="6">
        <v>4</v>
      </c>
      <c r="D315" s="10">
        <f>C315/24</f>
        <v>0.16666666666666666</v>
      </c>
      <c r="E315" s="6" t="str">
        <f>VLOOKUP(B315,Ref!A:D,2,0)</f>
        <v>Qurat Hussain</v>
      </c>
      <c r="F315" s="6" t="str">
        <f>VLOOKUP(B315,Ref!A:D,3,0)</f>
        <v>Rakesh Sinha</v>
      </c>
      <c r="G315" s="6" t="str">
        <f>VLOOKUP(B315,Ref!A:D,4,0)</f>
        <v>Retention</v>
      </c>
    </row>
    <row r="316" spans="1:7" x14ac:dyDescent="0.25">
      <c r="A316" s="15">
        <v>45786</v>
      </c>
      <c r="B316" s="6">
        <v>11044</v>
      </c>
      <c r="C316" s="6">
        <v>4</v>
      </c>
      <c r="D316" s="10">
        <f>C316/24</f>
        <v>0.16666666666666666</v>
      </c>
      <c r="E316" s="6" t="str">
        <f>VLOOKUP(B316,Ref!A:D,2,0)</f>
        <v>Qurat Hussain</v>
      </c>
      <c r="F316" s="6" t="str">
        <f>VLOOKUP(B316,Ref!A:D,3,0)</f>
        <v>Rakesh Sinha</v>
      </c>
      <c r="G316" s="6" t="str">
        <f>VLOOKUP(B316,Ref!A:D,4,0)</f>
        <v>Retention</v>
      </c>
    </row>
    <row r="317" spans="1:7" x14ac:dyDescent="0.25">
      <c r="A317" s="15">
        <v>45789</v>
      </c>
      <c r="B317" s="6">
        <v>11044</v>
      </c>
      <c r="C317" s="6">
        <v>4</v>
      </c>
      <c r="D317" s="10">
        <f>C317/24</f>
        <v>0.16666666666666666</v>
      </c>
      <c r="E317" s="6" t="str">
        <f>VLOOKUP(B317,Ref!A:D,2,0)</f>
        <v>Qurat Hussain</v>
      </c>
      <c r="F317" s="6" t="str">
        <f>VLOOKUP(B317,Ref!A:D,3,0)</f>
        <v>Rakesh Sinha</v>
      </c>
      <c r="G317" s="6" t="str">
        <f>VLOOKUP(B317,Ref!A:D,4,0)</f>
        <v>Retention</v>
      </c>
    </row>
    <row r="318" spans="1:7" x14ac:dyDescent="0.25">
      <c r="A318" s="15">
        <v>45778</v>
      </c>
      <c r="B318" s="6">
        <v>11045</v>
      </c>
      <c r="C318" s="6">
        <v>4</v>
      </c>
      <c r="D318" s="10">
        <f>C318/24</f>
        <v>0.16666666666666666</v>
      </c>
      <c r="E318" s="6" t="str">
        <f>VLOOKUP(B318,Ref!A:D,2,0)</f>
        <v>Rahul Nair</v>
      </c>
      <c r="F318" s="6" t="str">
        <f>VLOOKUP(B318,Ref!A:D,3,0)</f>
        <v>Rakesh Sinha</v>
      </c>
      <c r="G318" s="6" t="str">
        <f>VLOOKUP(B318,Ref!A:D,4,0)</f>
        <v>Retention</v>
      </c>
    </row>
    <row r="319" spans="1:7" x14ac:dyDescent="0.25">
      <c r="A319" s="15">
        <v>45779</v>
      </c>
      <c r="B319" s="6">
        <v>11045</v>
      </c>
      <c r="C319" s="6">
        <v>4</v>
      </c>
      <c r="D319" s="10">
        <f>C319/24</f>
        <v>0.16666666666666666</v>
      </c>
      <c r="E319" s="6" t="str">
        <f>VLOOKUP(B319,Ref!A:D,2,0)</f>
        <v>Rahul Nair</v>
      </c>
      <c r="F319" s="6" t="str">
        <f>VLOOKUP(B319,Ref!A:D,3,0)</f>
        <v>Rakesh Sinha</v>
      </c>
      <c r="G319" s="6" t="str">
        <f>VLOOKUP(B319,Ref!A:D,4,0)</f>
        <v>Retention</v>
      </c>
    </row>
    <row r="320" spans="1:7" x14ac:dyDescent="0.25">
      <c r="A320" s="15">
        <v>45782</v>
      </c>
      <c r="B320" s="6">
        <v>11045</v>
      </c>
      <c r="C320" s="6">
        <v>4</v>
      </c>
      <c r="D320" s="10">
        <f>C320/24</f>
        <v>0.16666666666666666</v>
      </c>
      <c r="E320" s="6" t="str">
        <f>VLOOKUP(B320,Ref!A:D,2,0)</f>
        <v>Rahul Nair</v>
      </c>
      <c r="F320" s="6" t="str">
        <f>VLOOKUP(B320,Ref!A:D,3,0)</f>
        <v>Rakesh Sinha</v>
      </c>
      <c r="G320" s="6" t="str">
        <f>VLOOKUP(B320,Ref!A:D,4,0)</f>
        <v>Retention</v>
      </c>
    </row>
    <row r="321" spans="1:7" x14ac:dyDescent="0.25">
      <c r="A321" s="15">
        <v>45783</v>
      </c>
      <c r="B321" s="6">
        <v>11045</v>
      </c>
      <c r="C321" s="6">
        <v>4</v>
      </c>
      <c r="D321" s="10">
        <f>C321/24</f>
        <v>0.16666666666666666</v>
      </c>
      <c r="E321" s="6" t="str">
        <f>VLOOKUP(B321,Ref!A:D,2,0)</f>
        <v>Rahul Nair</v>
      </c>
      <c r="F321" s="6" t="str">
        <f>VLOOKUP(B321,Ref!A:D,3,0)</f>
        <v>Rakesh Sinha</v>
      </c>
      <c r="G321" s="6" t="str">
        <f>VLOOKUP(B321,Ref!A:D,4,0)</f>
        <v>Retention</v>
      </c>
    </row>
    <row r="322" spans="1:7" x14ac:dyDescent="0.25">
      <c r="A322" s="15">
        <v>45784</v>
      </c>
      <c r="B322" s="6">
        <v>11045</v>
      </c>
      <c r="C322" s="6">
        <v>4</v>
      </c>
      <c r="D322" s="10">
        <f>C322/24</f>
        <v>0.16666666666666666</v>
      </c>
      <c r="E322" s="6" t="str">
        <f>VLOOKUP(B322,Ref!A:D,2,0)</f>
        <v>Rahul Nair</v>
      </c>
      <c r="F322" s="6" t="str">
        <f>VLOOKUP(B322,Ref!A:D,3,0)</f>
        <v>Rakesh Sinha</v>
      </c>
      <c r="G322" s="6" t="str">
        <f>VLOOKUP(B322,Ref!A:D,4,0)</f>
        <v>Retention</v>
      </c>
    </row>
    <row r="323" spans="1:7" x14ac:dyDescent="0.25">
      <c r="A323" s="15">
        <v>45785</v>
      </c>
      <c r="B323" s="6">
        <v>11045</v>
      </c>
      <c r="C323" s="6">
        <v>4</v>
      </c>
      <c r="D323" s="10">
        <f>C323/24</f>
        <v>0.16666666666666666</v>
      </c>
      <c r="E323" s="6" t="str">
        <f>VLOOKUP(B323,Ref!A:D,2,0)</f>
        <v>Rahul Nair</v>
      </c>
      <c r="F323" s="6" t="str">
        <f>VLOOKUP(B323,Ref!A:D,3,0)</f>
        <v>Rakesh Sinha</v>
      </c>
      <c r="G323" s="6" t="str">
        <f>VLOOKUP(B323,Ref!A:D,4,0)</f>
        <v>Retention</v>
      </c>
    </row>
    <row r="324" spans="1:7" x14ac:dyDescent="0.25">
      <c r="A324" s="15">
        <v>45786</v>
      </c>
      <c r="B324" s="6">
        <v>11045</v>
      </c>
      <c r="C324" s="6">
        <v>4</v>
      </c>
      <c r="D324" s="10">
        <f>C324/24</f>
        <v>0.16666666666666666</v>
      </c>
      <c r="E324" s="6" t="str">
        <f>VLOOKUP(B324,Ref!A:D,2,0)</f>
        <v>Rahul Nair</v>
      </c>
      <c r="F324" s="6" t="str">
        <f>VLOOKUP(B324,Ref!A:D,3,0)</f>
        <v>Rakesh Sinha</v>
      </c>
      <c r="G324" s="6" t="str">
        <f>VLOOKUP(B324,Ref!A:D,4,0)</f>
        <v>Retention</v>
      </c>
    </row>
    <row r="325" spans="1:7" x14ac:dyDescent="0.25">
      <c r="A325" s="15">
        <v>45789</v>
      </c>
      <c r="B325" s="6">
        <v>11045</v>
      </c>
      <c r="C325" s="6">
        <v>4</v>
      </c>
      <c r="D325" s="10">
        <f>C325/24</f>
        <v>0.16666666666666666</v>
      </c>
      <c r="E325" s="6" t="str">
        <f>VLOOKUP(B325,Ref!A:D,2,0)</f>
        <v>Rahul Nair</v>
      </c>
      <c r="F325" s="6" t="str">
        <f>VLOOKUP(B325,Ref!A:D,3,0)</f>
        <v>Rakesh Sinha</v>
      </c>
      <c r="G325" s="6" t="str">
        <f>VLOOKUP(B325,Ref!A:D,4,0)</f>
        <v>Retention</v>
      </c>
    </row>
    <row r="326" spans="1:7" x14ac:dyDescent="0.25">
      <c r="A326" s="15">
        <v>45790</v>
      </c>
      <c r="B326" s="6">
        <v>11045</v>
      </c>
      <c r="C326" s="6">
        <v>2</v>
      </c>
      <c r="D326" s="10">
        <f>C326/24</f>
        <v>8.3333333333333329E-2</v>
      </c>
      <c r="E326" s="6" t="str">
        <f>VLOOKUP(B326,Ref!A:D,2,0)</f>
        <v>Rahul Nair</v>
      </c>
      <c r="F326" s="6" t="str">
        <f>VLOOKUP(B326,Ref!A:D,3,0)</f>
        <v>Rakesh Sinha</v>
      </c>
      <c r="G326" s="6" t="str">
        <f>VLOOKUP(B326,Ref!A:D,4,0)</f>
        <v>Retention</v>
      </c>
    </row>
    <row r="327" spans="1:7" x14ac:dyDescent="0.25">
      <c r="A327" s="15">
        <v>45778</v>
      </c>
      <c r="B327" s="6">
        <v>11046</v>
      </c>
      <c r="C327" s="6">
        <v>4</v>
      </c>
      <c r="D327" s="10">
        <f>C327/24</f>
        <v>0.16666666666666666</v>
      </c>
      <c r="E327" s="6" t="str">
        <f>VLOOKUP(B327,Ref!A:D,2,0)</f>
        <v>Sakshi Jain</v>
      </c>
      <c r="F327" s="6" t="str">
        <f>VLOOKUP(B327,Ref!A:D,3,0)</f>
        <v>Rakesh Sinha</v>
      </c>
      <c r="G327" s="6" t="str">
        <f>VLOOKUP(B327,Ref!A:D,4,0)</f>
        <v>Retention</v>
      </c>
    </row>
    <row r="328" spans="1:7" x14ac:dyDescent="0.25">
      <c r="A328" s="15">
        <v>45779</v>
      </c>
      <c r="B328" s="6">
        <v>11046</v>
      </c>
      <c r="C328" s="6">
        <v>4</v>
      </c>
      <c r="D328" s="10">
        <f>C328/24</f>
        <v>0.16666666666666666</v>
      </c>
      <c r="E328" s="6" t="str">
        <f>VLOOKUP(B328,Ref!A:D,2,0)</f>
        <v>Sakshi Jain</v>
      </c>
      <c r="F328" s="6" t="str">
        <f>VLOOKUP(B328,Ref!A:D,3,0)</f>
        <v>Rakesh Sinha</v>
      </c>
      <c r="G328" s="6" t="str">
        <f>VLOOKUP(B328,Ref!A:D,4,0)</f>
        <v>Retention</v>
      </c>
    </row>
    <row r="329" spans="1:7" x14ac:dyDescent="0.25">
      <c r="A329" s="15">
        <v>45782</v>
      </c>
      <c r="B329" s="6">
        <v>11046</v>
      </c>
      <c r="C329" s="6">
        <v>4</v>
      </c>
      <c r="D329" s="10">
        <f>C329/24</f>
        <v>0.16666666666666666</v>
      </c>
      <c r="E329" s="6" t="str">
        <f>VLOOKUP(B329,Ref!A:D,2,0)</f>
        <v>Sakshi Jain</v>
      </c>
      <c r="F329" s="6" t="str">
        <f>VLOOKUP(B329,Ref!A:D,3,0)</f>
        <v>Rakesh Sinha</v>
      </c>
      <c r="G329" s="6" t="str">
        <f>VLOOKUP(B329,Ref!A:D,4,0)</f>
        <v>Retention</v>
      </c>
    </row>
    <row r="330" spans="1:7" x14ac:dyDescent="0.25">
      <c r="A330" s="15">
        <v>45783</v>
      </c>
      <c r="B330" s="6">
        <v>11046</v>
      </c>
      <c r="C330" s="6">
        <v>3</v>
      </c>
      <c r="D330" s="10">
        <f>C330/24</f>
        <v>0.125</v>
      </c>
      <c r="E330" s="6" t="str">
        <f>VLOOKUP(B330,Ref!A:D,2,0)</f>
        <v>Sakshi Jain</v>
      </c>
      <c r="F330" s="6" t="str">
        <f>VLOOKUP(B330,Ref!A:D,3,0)</f>
        <v>Rakesh Sinha</v>
      </c>
      <c r="G330" s="6" t="str">
        <f>VLOOKUP(B330,Ref!A:D,4,0)</f>
        <v>Retention</v>
      </c>
    </row>
    <row r="331" spans="1:7" x14ac:dyDescent="0.25">
      <c r="A331" s="15">
        <v>45778</v>
      </c>
      <c r="B331" s="6">
        <v>11047</v>
      </c>
      <c r="C331" s="6">
        <v>4</v>
      </c>
      <c r="D331" s="10">
        <f>C331/24</f>
        <v>0.16666666666666666</v>
      </c>
      <c r="E331" s="6" t="str">
        <f>VLOOKUP(B331,Ref!A:D,2,0)</f>
        <v>Tarun Goel</v>
      </c>
      <c r="F331" s="6" t="str">
        <f>VLOOKUP(B331,Ref!A:D,3,0)</f>
        <v>Rakesh Sinha</v>
      </c>
      <c r="G331" s="6" t="str">
        <f>VLOOKUP(B331,Ref!A:D,4,0)</f>
        <v>Retention</v>
      </c>
    </row>
    <row r="332" spans="1:7" x14ac:dyDescent="0.25">
      <c r="A332" s="15">
        <v>45779</v>
      </c>
      <c r="B332" s="6">
        <v>11047</v>
      </c>
      <c r="C332" s="6">
        <v>4</v>
      </c>
      <c r="D332" s="10">
        <f>C332/24</f>
        <v>0.16666666666666666</v>
      </c>
      <c r="E332" s="6" t="str">
        <f>VLOOKUP(B332,Ref!A:D,2,0)</f>
        <v>Tarun Goel</v>
      </c>
      <c r="F332" s="6" t="str">
        <f>VLOOKUP(B332,Ref!A:D,3,0)</f>
        <v>Rakesh Sinha</v>
      </c>
      <c r="G332" s="6" t="str">
        <f>VLOOKUP(B332,Ref!A:D,4,0)</f>
        <v>Retention</v>
      </c>
    </row>
    <row r="333" spans="1:7" x14ac:dyDescent="0.25">
      <c r="A333" s="15">
        <v>45782</v>
      </c>
      <c r="B333" s="6">
        <v>11047</v>
      </c>
      <c r="C333" s="6">
        <v>4</v>
      </c>
      <c r="D333" s="10">
        <f>C333/24</f>
        <v>0.16666666666666666</v>
      </c>
      <c r="E333" s="6" t="str">
        <f>VLOOKUP(B333,Ref!A:D,2,0)</f>
        <v>Tarun Goel</v>
      </c>
      <c r="F333" s="6" t="str">
        <f>VLOOKUP(B333,Ref!A:D,3,0)</f>
        <v>Rakesh Sinha</v>
      </c>
      <c r="G333" s="6" t="str">
        <f>VLOOKUP(B333,Ref!A:D,4,0)</f>
        <v>Retention</v>
      </c>
    </row>
    <row r="334" spans="1:7" x14ac:dyDescent="0.25">
      <c r="A334" s="15">
        <v>45783</v>
      </c>
      <c r="B334" s="6">
        <v>11047</v>
      </c>
      <c r="C334" s="6">
        <v>4</v>
      </c>
      <c r="D334" s="10">
        <f>C334/24</f>
        <v>0.16666666666666666</v>
      </c>
      <c r="E334" s="6" t="str">
        <f>VLOOKUP(B334,Ref!A:D,2,0)</f>
        <v>Tarun Goel</v>
      </c>
      <c r="F334" s="6" t="str">
        <f>VLOOKUP(B334,Ref!A:D,3,0)</f>
        <v>Rakesh Sinha</v>
      </c>
      <c r="G334" s="6" t="str">
        <f>VLOOKUP(B334,Ref!A:D,4,0)</f>
        <v>Retention</v>
      </c>
    </row>
    <row r="335" spans="1:7" x14ac:dyDescent="0.25">
      <c r="A335" s="15">
        <v>45784</v>
      </c>
      <c r="B335" s="6">
        <v>11047</v>
      </c>
      <c r="C335" s="6">
        <v>4</v>
      </c>
      <c r="D335" s="10">
        <f>C335/24</f>
        <v>0.16666666666666666</v>
      </c>
      <c r="E335" s="6" t="str">
        <f>VLOOKUP(B335,Ref!A:D,2,0)</f>
        <v>Tarun Goel</v>
      </c>
      <c r="F335" s="6" t="str">
        <f>VLOOKUP(B335,Ref!A:D,3,0)</f>
        <v>Rakesh Sinha</v>
      </c>
      <c r="G335" s="6" t="str">
        <f>VLOOKUP(B335,Ref!A:D,4,0)</f>
        <v>Retention</v>
      </c>
    </row>
    <row r="336" spans="1:7" x14ac:dyDescent="0.25">
      <c r="A336" s="15">
        <v>45785</v>
      </c>
      <c r="B336" s="6">
        <v>11047</v>
      </c>
      <c r="C336" s="6">
        <v>4</v>
      </c>
      <c r="D336" s="10">
        <f>C336/24</f>
        <v>0.16666666666666666</v>
      </c>
      <c r="E336" s="6" t="str">
        <f>VLOOKUP(B336,Ref!A:D,2,0)</f>
        <v>Tarun Goel</v>
      </c>
      <c r="F336" s="6" t="str">
        <f>VLOOKUP(B336,Ref!A:D,3,0)</f>
        <v>Rakesh Sinha</v>
      </c>
      <c r="G336" s="6" t="str">
        <f>VLOOKUP(B336,Ref!A:D,4,0)</f>
        <v>Retention</v>
      </c>
    </row>
    <row r="337" spans="1:7" x14ac:dyDescent="0.25">
      <c r="A337" s="15">
        <v>45786</v>
      </c>
      <c r="B337" s="6">
        <v>11047</v>
      </c>
      <c r="C337" s="6">
        <v>1</v>
      </c>
      <c r="D337" s="10">
        <f>C337/24</f>
        <v>4.1666666666666664E-2</v>
      </c>
      <c r="E337" s="6" t="str">
        <f>VLOOKUP(B337,Ref!A:D,2,0)</f>
        <v>Tarun Goel</v>
      </c>
      <c r="F337" s="6" t="str">
        <f>VLOOKUP(B337,Ref!A:D,3,0)</f>
        <v>Rakesh Sinha</v>
      </c>
      <c r="G337" s="6" t="str">
        <f>VLOOKUP(B337,Ref!A:D,4,0)</f>
        <v>Retention</v>
      </c>
    </row>
    <row r="338" spans="1:7" x14ac:dyDescent="0.25">
      <c r="A338" s="15">
        <v>45778</v>
      </c>
      <c r="B338" s="6">
        <v>11048</v>
      </c>
      <c r="C338" s="6">
        <v>4</v>
      </c>
      <c r="D338" s="10">
        <f>C338/24</f>
        <v>0.16666666666666666</v>
      </c>
      <c r="E338" s="6" t="str">
        <f>VLOOKUP(B338,Ref!A:D,2,0)</f>
        <v>Urvashi Menon</v>
      </c>
      <c r="F338" s="6" t="str">
        <f>VLOOKUP(B338,Ref!A:D,3,0)</f>
        <v>Rakesh Sinha</v>
      </c>
      <c r="G338" s="6" t="str">
        <f>VLOOKUP(B338,Ref!A:D,4,0)</f>
        <v>Retention</v>
      </c>
    </row>
    <row r="339" spans="1:7" x14ac:dyDescent="0.25">
      <c r="A339" s="15">
        <v>45779</v>
      </c>
      <c r="B339" s="6">
        <v>11048</v>
      </c>
      <c r="C339" s="6">
        <v>4</v>
      </c>
      <c r="D339" s="10">
        <f>C339/24</f>
        <v>0.16666666666666666</v>
      </c>
      <c r="E339" s="6" t="str">
        <f>VLOOKUP(B339,Ref!A:D,2,0)</f>
        <v>Urvashi Menon</v>
      </c>
      <c r="F339" s="6" t="str">
        <f>VLOOKUP(B339,Ref!A:D,3,0)</f>
        <v>Rakesh Sinha</v>
      </c>
      <c r="G339" s="6" t="str">
        <f>VLOOKUP(B339,Ref!A:D,4,0)</f>
        <v>Retention</v>
      </c>
    </row>
    <row r="340" spans="1:7" x14ac:dyDescent="0.25">
      <c r="A340" s="15">
        <v>45782</v>
      </c>
      <c r="B340" s="6">
        <v>11048</v>
      </c>
      <c r="C340" s="6">
        <v>4</v>
      </c>
      <c r="D340" s="10">
        <f>C340/24</f>
        <v>0.16666666666666666</v>
      </c>
      <c r="E340" s="6" t="str">
        <f>VLOOKUP(B340,Ref!A:D,2,0)</f>
        <v>Urvashi Menon</v>
      </c>
      <c r="F340" s="6" t="str">
        <f>VLOOKUP(B340,Ref!A:D,3,0)</f>
        <v>Rakesh Sinha</v>
      </c>
      <c r="G340" s="6" t="str">
        <f>VLOOKUP(B340,Ref!A:D,4,0)</f>
        <v>Retention</v>
      </c>
    </row>
    <row r="341" spans="1:7" x14ac:dyDescent="0.25">
      <c r="A341" s="15">
        <v>45783</v>
      </c>
      <c r="B341" s="6">
        <v>11048</v>
      </c>
      <c r="C341" s="6">
        <v>4</v>
      </c>
      <c r="D341" s="10">
        <f>C341/24</f>
        <v>0.16666666666666666</v>
      </c>
      <c r="E341" s="6" t="str">
        <f>VLOOKUP(B341,Ref!A:D,2,0)</f>
        <v>Urvashi Menon</v>
      </c>
      <c r="F341" s="6" t="str">
        <f>VLOOKUP(B341,Ref!A:D,3,0)</f>
        <v>Rakesh Sinha</v>
      </c>
      <c r="G341" s="6" t="str">
        <f>VLOOKUP(B341,Ref!A:D,4,0)</f>
        <v>Retention</v>
      </c>
    </row>
    <row r="342" spans="1:7" x14ac:dyDescent="0.25">
      <c r="A342" s="15">
        <v>45784</v>
      </c>
      <c r="B342" s="6">
        <v>11048</v>
      </c>
      <c r="C342" s="6">
        <v>2</v>
      </c>
      <c r="D342" s="10">
        <f>C342/24</f>
        <v>8.3333333333333329E-2</v>
      </c>
      <c r="E342" s="6" t="str">
        <f>VLOOKUP(B342,Ref!A:D,2,0)</f>
        <v>Urvashi Menon</v>
      </c>
      <c r="F342" s="6" t="str">
        <f>VLOOKUP(B342,Ref!A:D,3,0)</f>
        <v>Rakesh Sinha</v>
      </c>
      <c r="G342" s="6" t="str">
        <f>VLOOKUP(B342,Ref!A:D,4,0)</f>
        <v>Retention</v>
      </c>
    </row>
    <row r="343" spans="1:7" x14ac:dyDescent="0.25">
      <c r="A343" s="15">
        <v>45778</v>
      </c>
      <c r="B343" s="6">
        <v>11049</v>
      </c>
      <c r="C343" s="6">
        <v>4</v>
      </c>
      <c r="D343" s="10">
        <f>C343/24</f>
        <v>0.16666666666666666</v>
      </c>
      <c r="E343" s="6" t="str">
        <f>VLOOKUP(B343,Ref!A:D,2,0)</f>
        <v>Vinay Joshi</v>
      </c>
      <c r="F343" s="6" t="str">
        <f>VLOOKUP(B343,Ref!A:D,3,0)</f>
        <v>Rakesh Sinha</v>
      </c>
      <c r="G343" s="6" t="str">
        <f>VLOOKUP(B343,Ref!A:D,4,0)</f>
        <v>Retention</v>
      </c>
    </row>
    <row r="344" spans="1:7" x14ac:dyDescent="0.25">
      <c r="A344" s="15">
        <v>45779</v>
      </c>
      <c r="B344" s="6">
        <v>11049</v>
      </c>
      <c r="C344" s="6">
        <v>4</v>
      </c>
      <c r="D344" s="10">
        <f>C344/24</f>
        <v>0.16666666666666666</v>
      </c>
      <c r="E344" s="6" t="str">
        <f>VLOOKUP(B344,Ref!A:D,2,0)</f>
        <v>Vinay Joshi</v>
      </c>
      <c r="F344" s="6" t="str">
        <f>VLOOKUP(B344,Ref!A:D,3,0)</f>
        <v>Rakesh Sinha</v>
      </c>
      <c r="G344" s="6" t="str">
        <f>VLOOKUP(B344,Ref!A:D,4,0)</f>
        <v>Retention</v>
      </c>
    </row>
    <row r="345" spans="1:7" x14ac:dyDescent="0.25">
      <c r="A345" s="15">
        <v>45782</v>
      </c>
      <c r="B345" s="6">
        <v>11049</v>
      </c>
      <c r="C345" s="6">
        <v>4</v>
      </c>
      <c r="D345" s="10">
        <f>C345/24</f>
        <v>0.16666666666666666</v>
      </c>
      <c r="E345" s="6" t="str">
        <f>VLOOKUP(B345,Ref!A:D,2,0)</f>
        <v>Vinay Joshi</v>
      </c>
      <c r="F345" s="6" t="str">
        <f>VLOOKUP(B345,Ref!A:D,3,0)</f>
        <v>Rakesh Sinha</v>
      </c>
      <c r="G345" s="6" t="str">
        <f>VLOOKUP(B345,Ref!A:D,4,0)</f>
        <v>Retention</v>
      </c>
    </row>
    <row r="346" spans="1:7" x14ac:dyDescent="0.25">
      <c r="A346" s="15">
        <v>45783</v>
      </c>
      <c r="B346" s="6">
        <v>11049</v>
      </c>
      <c r="C346" s="6">
        <v>4</v>
      </c>
      <c r="D346" s="10">
        <f>C346/24</f>
        <v>0.16666666666666666</v>
      </c>
      <c r="E346" s="6" t="str">
        <f>VLOOKUP(B346,Ref!A:D,2,0)</f>
        <v>Vinay Joshi</v>
      </c>
      <c r="F346" s="6" t="str">
        <f>VLOOKUP(B346,Ref!A:D,3,0)</f>
        <v>Rakesh Sinha</v>
      </c>
      <c r="G346" s="6" t="str">
        <f>VLOOKUP(B346,Ref!A:D,4,0)</f>
        <v>Retention</v>
      </c>
    </row>
    <row r="347" spans="1:7" x14ac:dyDescent="0.25">
      <c r="A347" s="15">
        <v>45784</v>
      </c>
      <c r="B347" s="6">
        <v>11049</v>
      </c>
      <c r="C347" s="6">
        <v>4</v>
      </c>
      <c r="D347" s="10">
        <f>C347/24</f>
        <v>0.16666666666666666</v>
      </c>
      <c r="E347" s="6" t="str">
        <f>VLOOKUP(B347,Ref!A:D,2,0)</f>
        <v>Vinay Joshi</v>
      </c>
      <c r="F347" s="6" t="str">
        <f>VLOOKUP(B347,Ref!A:D,3,0)</f>
        <v>Rakesh Sinha</v>
      </c>
      <c r="G347" s="6" t="str">
        <f>VLOOKUP(B347,Ref!A:D,4,0)</f>
        <v>Retention</v>
      </c>
    </row>
    <row r="348" spans="1:7" x14ac:dyDescent="0.25">
      <c r="A348" s="15">
        <v>45785</v>
      </c>
      <c r="B348" s="6">
        <v>11049</v>
      </c>
      <c r="C348" s="6">
        <v>4</v>
      </c>
      <c r="D348" s="10">
        <f>C348/24</f>
        <v>0.16666666666666666</v>
      </c>
      <c r="E348" s="6" t="str">
        <f>VLOOKUP(B348,Ref!A:D,2,0)</f>
        <v>Vinay Joshi</v>
      </c>
      <c r="F348" s="6" t="str">
        <f>VLOOKUP(B348,Ref!A:D,3,0)</f>
        <v>Rakesh Sinha</v>
      </c>
      <c r="G348" s="6" t="str">
        <f>VLOOKUP(B348,Ref!A:D,4,0)</f>
        <v>Retention</v>
      </c>
    </row>
    <row r="349" spans="1:7" x14ac:dyDescent="0.25">
      <c r="A349" s="15">
        <v>45786</v>
      </c>
      <c r="B349" s="6">
        <v>11049</v>
      </c>
      <c r="C349" s="6">
        <v>4</v>
      </c>
      <c r="D349" s="10">
        <f>C349/24</f>
        <v>0.16666666666666666</v>
      </c>
      <c r="E349" s="6" t="str">
        <f>VLOOKUP(B349,Ref!A:D,2,0)</f>
        <v>Vinay Joshi</v>
      </c>
      <c r="F349" s="6" t="str">
        <f>VLOOKUP(B349,Ref!A:D,3,0)</f>
        <v>Rakesh Sinha</v>
      </c>
      <c r="G349" s="6" t="str">
        <f>VLOOKUP(B349,Ref!A:D,4,0)</f>
        <v>Retention</v>
      </c>
    </row>
    <row r="350" spans="1:7" x14ac:dyDescent="0.25">
      <c r="A350" s="15">
        <v>45789</v>
      </c>
      <c r="B350" s="6">
        <v>11049</v>
      </c>
      <c r="C350" s="6">
        <v>4</v>
      </c>
      <c r="D350" s="10">
        <f>C350/24</f>
        <v>0.16666666666666666</v>
      </c>
      <c r="E350" s="6" t="str">
        <f>VLOOKUP(B350,Ref!A:D,2,0)</f>
        <v>Vinay Joshi</v>
      </c>
      <c r="F350" s="6" t="str">
        <f>VLOOKUP(B350,Ref!A:D,3,0)</f>
        <v>Rakesh Sinha</v>
      </c>
      <c r="G350" s="6" t="str">
        <f>VLOOKUP(B350,Ref!A:D,4,0)</f>
        <v>Retention</v>
      </c>
    </row>
    <row r="351" spans="1:7" x14ac:dyDescent="0.25">
      <c r="A351" s="15">
        <v>45790</v>
      </c>
      <c r="B351" s="6">
        <v>11049</v>
      </c>
      <c r="C351" s="6">
        <v>4</v>
      </c>
      <c r="D351" s="10">
        <f>C351/24</f>
        <v>0.16666666666666666</v>
      </c>
      <c r="E351" s="6" t="str">
        <f>VLOOKUP(B351,Ref!A:D,2,0)</f>
        <v>Vinay Joshi</v>
      </c>
      <c r="F351" s="6" t="str">
        <f>VLOOKUP(B351,Ref!A:D,3,0)</f>
        <v>Rakesh Sinha</v>
      </c>
      <c r="G351" s="6" t="str">
        <f>VLOOKUP(B351,Ref!A:D,4,0)</f>
        <v>Retention</v>
      </c>
    </row>
    <row r="352" spans="1:7" x14ac:dyDescent="0.25">
      <c r="A352" s="15">
        <v>45791</v>
      </c>
      <c r="B352" s="6">
        <v>11049</v>
      </c>
      <c r="C352" s="6">
        <v>4</v>
      </c>
      <c r="D352" s="10">
        <f>C352/24</f>
        <v>0.16666666666666666</v>
      </c>
      <c r="E352" s="6" t="str">
        <f>VLOOKUP(B352,Ref!A:D,2,0)</f>
        <v>Vinay Joshi</v>
      </c>
      <c r="F352" s="6" t="str">
        <f>VLOOKUP(B352,Ref!A:D,3,0)</f>
        <v>Rakesh Sinha</v>
      </c>
      <c r="G352" s="6" t="str">
        <f>VLOOKUP(B352,Ref!A:D,4,0)</f>
        <v>Retention</v>
      </c>
    </row>
    <row r="353" spans="1:7" x14ac:dyDescent="0.25">
      <c r="A353" s="15">
        <v>45792</v>
      </c>
      <c r="B353" s="6">
        <v>11049</v>
      </c>
      <c r="C353" s="6">
        <v>4</v>
      </c>
      <c r="D353" s="10">
        <f>C353/24</f>
        <v>0.16666666666666666</v>
      </c>
      <c r="E353" s="6" t="str">
        <f>VLOOKUP(B353,Ref!A:D,2,0)</f>
        <v>Vinay Joshi</v>
      </c>
      <c r="F353" s="6" t="str">
        <f>VLOOKUP(B353,Ref!A:D,3,0)</f>
        <v>Rakesh Sinha</v>
      </c>
      <c r="G353" s="6" t="str">
        <f>VLOOKUP(B353,Ref!A:D,4,0)</f>
        <v>Retention</v>
      </c>
    </row>
    <row r="354" spans="1:7" x14ac:dyDescent="0.25">
      <c r="A354" s="15">
        <v>45778</v>
      </c>
      <c r="B354" s="6">
        <v>11050</v>
      </c>
      <c r="C354" s="6">
        <v>4</v>
      </c>
      <c r="D354" s="10">
        <f>C354/24</f>
        <v>0.16666666666666666</v>
      </c>
      <c r="E354" s="6" t="str">
        <f>VLOOKUP(B354,Ref!A:D,2,0)</f>
        <v>Wasim Merchant</v>
      </c>
      <c r="F354" s="6" t="str">
        <f>VLOOKUP(B354,Ref!A:D,3,0)</f>
        <v>Rakesh Sinha</v>
      </c>
      <c r="G354" s="6" t="str">
        <f>VLOOKUP(B354,Ref!A:D,4,0)</f>
        <v>Retention</v>
      </c>
    </row>
    <row r="355" spans="1:7" x14ac:dyDescent="0.25">
      <c r="A355" s="15">
        <v>45779</v>
      </c>
      <c r="B355" s="6">
        <v>11050</v>
      </c>
      <c r="C355" s="6">
        <v>4</v>
      </c>
      <c r="D355" s="10">
        <f>C355/24</f>
        <v>0.16666666666666666</v>
      </c>
      <c r="E355" s="6" t="str">
        <f>VLOOKUP(B355,Ref!A:D,2,0)</f>
        <v>Wasim Merchant</v>
      </c>
      <c r="F355" s="6" t="str">
        <f>VLOOKUP(B355,Ref!A:D,3,0)</f>
        <v>Rakesh Sinha</v>
      </c>
      <c r="G355" s="6" t="str">
        <f>VLOOKUP(B355,Ref!A:D,4,0)</f>
        <v>Retention</v>
      </c>
    </row>
    <row r="356" spans="1:7" x14ac:dyDescent="0.25">
      <c r="A356" s="15">
        <v>45782</v>
      </c>
      <c r="B356" s="6">
        <v>11050</v>
      </c>
      <c r="C356" s="6">
        <v>4</v>
      </c>
      <c r="D356" s="10">
        <f>C356/24</f>
        <v>0.16666666666666666</v>
      </c>
      <c r="E356" s="6" t="str">
        <f>VLOOKUP(B356,Ref!A:D,2,0)</f>
        <v>Wasim Merchant</v>
      </c>
      <c r="F356" s="6" t="str">
        <f>VLOOKUP(B356,Ref!A:D,3,0)</f>
        <v>Rakesh Sinha</v>
      </c>
      <c r="G356" s="6" t="str">
        <f>VLOOKUP(B356,Ref!A:D,4,0)</f>
        <v>Retention</v>
      </c>
    </row>
    <row r="357" spans="1:7" x14ac:dyDescent="0.25">
      <c r="A357" s="15">
        <v>45783</v>
      </c>
      <c r="B357" s="6">
        <v>11050</v>
      </c>
      <c r="C357" s="6">
        <v>4</v>
      </c>
      <c r="D357" s="10">
        <f>C357/24</f>
        <v>0.16666666666666666</v>
      </c>
      <c r="E357" s="6" t="str">
        <f>VLOOKUP(B357,Ref!A:D,2,0)</f>
        <v>Wasim Merchant</v>
      </c>
      <c r="F357" s="6" t="str">
        <f>VLOOKUP(B357,Ref!A:D,3,0)</f>
        <v>Rakesh Sinha</v>
      </c>
      <c r="G357" s="6" t="str">
        <f>VLOOKUP(B357,Ref!A:D,4,0)</f>
        <v>Retention</v>
      </c>
    </row>
    <row r="358" spans="1:7" x14ac:dyDescent="0.25">
      <c r="A358" s="15">
        <v>45784</v>
      </c>
      <c r="B358" s="6">
        <v>11050</v>
      </c>
      <c r="C358" s="6">
        <v>4</v>
      </c>
      <c r="D358" s="10">
        <f>C358/24</f>
        <v>0.16666666666666666</v>
      </c>
      <c r="E358" s="6" t="str">
        <f>VLOOKUP(B358,Ref!A:D,2,0)</f>
        <v>Wasim Merchant</v>
      </c>
      <c r="F358" s="6" t="str">
        <f>VLOOKUP(B358,Ref!A:D,3,0)</f>
        <v>Rakesh Sinha</v>
      </c>
      <c r="G358" s="6" t="str">
        <f>VLOOKUP(B358,Ref!A:D,4,0)</f>
        <v>Retention</v>
      </c>
    </row>
    <row r="359" spans="1:7" x14ac:dyDescent="0.25">
      <c r="A359" s="15">
        <v>45785</v>
      </c>
      <c r="B359" s="6">
        <v>11050</v>
      </c>
      <c r="C359" s="6">
        <v>4</v>
      </c>
      <c r="D359" s="10">
        <f>C359/24</f>
        <v>0.16666666666666666</v>
      </c>
      <c r="E359" s="6" t="str">
        <f>VLOOKUP(B359,Ref!A:D,2,0)</f>
        <v>Wasim Merchant</v>
      </c>
      <c r="F359" s="6" t="str">
        <f>VLOOKUP(B359,Ref!A:D,3,0)</f>
        <v>Rakesh Sinha</v>
      </c>
      <c r="G359" s="6" t="str">
        <f>VLOOKUP(B359,Ref!A:D,4,0)</f>
        <v>Retention</v>
      </c>
    </row>
    <row r="360" spans="1:7" x14ac:dyDescent="0.25">
      <c r="A360" s="15">
        <v>45786</v>
      </c>
      <c r="B360" s="6">
        <v>11050</v>
      </c>
      <c r="C360" s="6">
        <v>4</v>
      </c>
      <c r="D360" s="10">
        <f>C360/24</f>
        <v>0.16666666666666666</v>
      </c>
      <c r="E360" s="6" t="str">
        <f>VLOOKUP(B360,Ref!A:D,2,0)</f>
        <v>Wasim Merchant</v>
      </c>
      <c r="F360" s="6" t="str">
        <f>VLOOKUP(B360,Ref!A:D,3,0)</f>
        <v>Rakesh Sinha</v>
      </c>
      <c r="G360" s="6" t="str">
        <f>VLOOKUP(B360,Ref!A:D,4,0)</f>
        <v>Retention</v>
      </c>
    </row>
    <row r="361" spans="1:7" x14ac:dyDescent="0.25">
      <c r="A361" s="15">
        <v>45789</v>
      </c>
      <c r="B361" s="6">
        <v>11050</v>
      </c>
      <c r="C361" s="6">
        <v>4</v>
      </c>
      <c r="D361" s="10">
        <f>C361/24</f>
        <v>0.16666666666666666</v>
      </c>
      <c r="E361" s="6" t="str">
        <f>VLOOKUP(B361,Ref!A:D,2,0)</f>
        <v>Wasim Merchant</v>
      </c>
      <c r="F361" s="6" t="str">
        <f>VLOOKUP(B361,Ref!A:D,3,0)</f>
        <v>Rakesh Sinha</v>
      </c>
      <c r="G361" s="6" t="str">
        <f>VLOOKUP(B361,Ref!A:D,4,0)</f>
        <v>Retention</v>
      </c>
    </row>
    <row r="362" spans="1:7" x14ac:dyDescent="0.25">
      <c r="A362" s="15">
        <v>45790</v>
      </c>
      <c r="B362" s="6">
        <v>11050</v>
      </c>
      <c r="C362" s="6">
        <v>4</v>
      </c>
      <c r="D362" s="10">
        <f>C362/24</f>
        <v>0.16666666666666666</v>
      </c>
      <c r="E362" s="6" t="str">
        <f>VLOOKUP(B362,Ref!A:D,2,0)</f>
        <v>Wasim Merchant</v>
      </c>
      <c r="F362" s="6" t="str">
        <f>VLOOKUP(B362,Ref!A:D,3,0)</f>
        <v>Rakesh Sinha</v>
      </c>
      <c r="G362" s="6" t="str">
        <f>VLOOKUP(B362,Ref!A:D,4,0)</f>
        <v>Retention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07B2A4-600C-4770-AA42-559448BCA2F9}">
  <sheetPr codeName="Sheet4"/>
  <dimension ref="A1:D51"/>
  <sheetViews>
    <sheetView topLeftCell="A33" workbookViewId="0">
      <selection activeCell="E48" sqref="E48"/>
    </sheetView>
  </sheetViews>
  <sheetFormatPr defaultRowHeight="15" x14ac:dyDescent="0.25"/>
  <cols>
    <col min="1" max="1" width="7.42578125" bestFit="1" customWidth="1"/>
    <col min="2" max="2" width="16" bestFit="1" customWidth="1"/>
    <col min="3" max="3" width="13.7109375" bestFit="1" customWidth="1"/>
    <col min="4" max="4" width="16.85546875" bestFit="1" customWidth="1"/>
  </cols>
  <sheetData>
    <row r="1" spans="1:4" x14ac:dyDescent="0.25">
      <c r="A1" s="1" t="s">
        <v>0</v>
      </c>
      <c r="B1" s="1" t="s">
        <v>9</v>
      </c>
      <c r="C1" s="1" t="s">
        <v>10</v>
      </c>
      <c r="D1" s="1" t="s">
        <v>11</v>
      </c>
    </row>
    <row r="2" spans="1:4" x14ac:dyDescent="0.25">
      <c r="A2">
        <v>11001</v>
      </c>
      <c r="B2" t="s">
        <v>25</v>
      </c>
      <c r="C2" t="s">
        <v>26</v>
      </c>
      <c r="D2" t="s">
        <v>27</v>
      </c>
    </row>
    <row r="3" spans="1:4" x14ac:dyDescent="0.25">
      <c r="A3">
        <v>11002</v>
      </c>
      <c r="B3" t="s">
        <v>28</v>
      </c>
      <c r="C3" t="s">
        <v>26</v>
      </c>
      <c r="D3" t="s">
        <v>27</v>
      </c>
    </row>
    <row r="4" spans="1:4" x14ac:dyDescent="0.25">
      <c r="A4">
        <v>11003</v>
      </c>
      <c r="B4" t="s">
        <v>29</v>
      </c>
      <c r="C4" t="s">
        <v>26</v>
      </c>
      <c r="D4" t="s">
        <v>27</v>
      </c>
    </row>
    <row r="5" spans="1:4" x14ac:dyDescent="0.25">
      <c r="A5">
        <v>11004</v>
      </c>
      <c r="B5" t="s">
        <v>30</v>
      </c>
      <c r="C5" t="s">
        <v>26</v>
      </c>
      <c r="D5" t="s">
        <v>27</v>
      </c>
    </row>
    <row r="6" spans="1:4" x14ac:dyDescent="0.25">
      <c r="A6">
        <v>11005</v>
      </c>
      <c r="B6" t="s">
        <v>31</v>
      </c>
      <c r="C6" t="s">
        <v>26</v>
      </c>
      <c r="D6" t="s">
        <v>27</v>
      </c>
    </row>
    <row r="7" spans="1:4" x14ac:dyDescent="0.25">
      <c r="A7">
        <v>11006</v>
      </c>
      <c r="B7" t="s">
        <v>32</v>
      </c>
      <c r="C7" t="s">
        <v>26</v>
      </c>
      <c r="D7" t="s">
        <v>27</v>
      </c>
    </row>
    <row r="8" spans="1:4" x14ac:dyDescent="0.25">
      <c r="A8">
        <v>11007</v>
      </c>
      <c r="B8" t="s">
        <v>33</v>
      </c>
      <c r="C8" t="s">
        <v>26</v>
      </c>
      <c r="D8" t="s">
        <v>27</v>
      </c>
    </row>
    <row r="9" spans="1:4" x14ac:dyDescent="0.25">
      <c r="A9">
        <v>11008</v>
      </c>
      <c r="B9" t="s">
        <v>34</v>
      </c>
      <c r="C9" t="s">
        <v>26</v>
      </c>
      <c r="D9" t="s">
        <v>27</v>
      </c>
    </row>
    <row r="10" spans="1:4" x14ac:dyDescent="0.25">
      <c r="A10">
        <v>11009</v>
      </c>
      <c r="B10" t="s">
        <v>35</v>
      </c>
      <c r="C10" t="s">
        <v>26</v>
      </c>
      <c r="D10" t="s">
        <v>27</v>
      </c>
    </row>
    <row r="11" spans="1:4" x14ac:dyDescent="0.25">
      <c r="A11">
        <v>11010</v>
      </c>
      <c r="B11" t="s">
        <v>36</v>
      </c>
      <c r="C11" t="s">
        <v>26</v>
      </c>
      <c r="D11" t="s">
        <v>27</v>
      </c>
    </row>
    <row r="12" spans="1:4" x14ac:dyDescent="0.25">
      <c r="A12">
        <v>11011</v>
      </c>
      <c r="B12" t="s">
        <v>37</v>
      </c>
      <c r="C12" t="s">
        <v>38</v>
      </c>
      <c r="D12" t="s">
        <v>39</v>
      </c>
    </row>
    <row r="13" spans="1:4" x14ac:dyDescent="0.25">
      <c r="A13">
        <v>11012</v>
      </c>
      <c r="B13" t="s">
        <v>40</v>
      </c>
      <c r="C13" t="s">
        <v>38</v>
      </c>
      <c r="D13" t="s">
        <v>39</v>
      </c>
    </row>
    <row r="14" spans="1:4" x14ac:dyDescent="0.25">
      <c r="A14">
        <v>11013</v>
      </c>
      <c r="B14" t="s">
        <v>41</v>
      </c>
      <c r="C14" t="s">
        <v>38</v>
      </c>
      <c r="D14" t="s">
        <v>39</v>
      </c>
    </row>
    <row r="15" spans="1:4" x14ac:dyDescent="0.25">
      <c r="A15">
        <v>11014</v>
      </c>
      <c r="B15" t="s">
        <v>42</v>
      </c>
      <c r="C15" t="s">
        <v>38</v>
      </c>
      <c r="D15" t="s">
        <v>39</v>
      </c>
    </row>
    <row r="16" spans="1:4" x14ac:dyDescent="0.25">
      <c r="A16">
        <v>11015</v>
      </c>
      <c r="B16" t="s">
        <v>43</v>
      </c>
      <c r="C16" t="s">
        <v>38</v>
      </c>
      <c r="D16" t="s">
        <v>39</v>
      </c>
    </row>
    <row r="17" spans="1:4" x14ac:dyDescent="0.25">
      <c r="A17">
        <v>11016</v>
      </c>
      <c r="B17" t="s">
        <v>44</v>
      </c>
      <c r="C17" t="s">
        <v>38</v>
      </c>
      <c r="D17" t="s">
        <v>39</v>
      </c>
    </row>
    <row r="18" spans="1:4" x14ac:dyDescent="0.25">
      <c r="A18">
        <v>11017</v>
      </c>
      <c r="B18" t="s">
        <v>45</v>
      </c>
      <c r="C18" t="s">
        <v>38</v>
      </c>
      <c r="D18" t="s">
        <v>39</v>
      </c>
    </row>
    <row r="19" spans="1:4" x14ac:dyDescent="0.25">
      <c r="A19">
        <v>11018</v>
      </c>
      <c r="B19" t="s">
        <v>46</v>
      </c>
      <c r="C19" t="s">
        <v>38</v>
      </c>
      <c r="D19" t="s">
        <v>39</v>
      </c>
    </row>
    <row r="20" spans="1:4" x14ac:dyDescent="0.25">
      <c r="A20">
        <v>11019</v>
      </c>
      <c r="B20" t="s">
        <v>47</v>
      </c>
      <c r="C20" t="s">
        <v>38</v>
      </c>
      <c r="D20" t="s">
        <v>39</v>
      </c>
    </row>
    <row r="21" spans="1:4" x14ac:dyDescent="0.25">
      <c r="A21">
        <v>11020</v>
      </c>
      <c r="B21" t="s">
        <v>48</v>
      </c>
      <c r="C21" t="s">
        <v>38</v>
      </c>
      <c r="D21" t="s">
        <v>39</v>
      </c>
    </row>
    <row r="22" spans="1:4" x14ac:dyDescent="0.25">
      <c r="A22">
        <v>11021</v>
      </c>
      <c r="B22" t="s">
        <v>49</v>
      </c>
      <c r="C22" t="s">
        <v>50</v>
      </c>
      <c r="D22" t="s">
        <v>51</v>
      </c>
    </row>
    <row r="23" spans="1:4" x14ac:dyDescent="0.25">
      <c r="A23">
        <v>11022</v>
      </c>
      <c r="B23" t="s">
        <v>52</v>
      </c>
      <c r="C23" t="s">
        <v>50</v>
      </c>
      <c r="D23" t="s">
        <v>51</v>
      </c>
    </row>
    <row r="24" spans="1:4" x14ac:dyDescent="0.25">
      <c r="A24">
        <v>11023</v>
      </c>
      <c r="B24" t="s">
        <v>53</v>
      </c>
      <c r="C24" t="s">
        <v>50</v>
      </c>
      <c r="D24" t="s">
        <v>51</v>
      </c>
    </row>
    <row r="25" spans="1:4" x14ac:dyDescent="0.25">
      <c r="A25">
        <v>11024</v>
      </c>
      <c r="B25" t="s">
        <v>54</v>
      </c>
      <c r="C25" t="s">
        <v>50</v>
      </c>
      <c r="D25" t="s">
        <v>51</v>
      </c>
    </row>
    <row r="26" spans="1:4" x14ac:dyDescent="0.25">
      <c r="A26">
        <v>11025</v>
      </c>
      <c r="B26" t="s">
        <v>55</v>
      </c>
      <c r="C26" t="s">
        <v>50</v>
      </c>
      <c r="D26" t="s">
        <v>51</v>
      </c>
    </row>
    <row r="27" spans="1:4" x14ac:dyDescent="0.25">
      <c r="A27">
        <v>11026</v>
      </c>
      <c r="B27" t="s">
        <v>56</v>
      </c>
      <c r="C27" t="s">
        <v>50</v>
      </c>
      <c r="D27" t="s">
        <v>51</v>
      </c>
    </row>
    <row r="28" spans="1:4" x14ac:dyDescent="0.25">
      <c r="A28">
        <v>11027</v>
      </c>
      <c r="B28" t="s">
        <v>57</v>
      </c>
      <c r="C28" t="s">
        <v>50</v>
      </c>
      <c r="D28" t="s">
        <v>51</v>
      </c>
    </row>
    <row r="29" spans="1:4" x14ac:dyDescent="0.25">
      <c r="A29">
        <v>11028</v>
      </c>
      <c r="B29" t="s">
        <v>58</v>
      </c>
      <c r="C29" t="s">
        <v>50</v>
      </c>
      <c r="D29" t="s">
        <v>51</v>
      </c>
    </row>
    <row r="30" spans="1:4" x14ac:dyDescent="0.25">
      <c r="A30">
        <v>11029</v>
      </c>
      <c r="B30" t="s">
        <v>59</v>
      </c>
      <c r="C30" t="s">
        <v>50</v>
      </c>
      <c r="D30" t="s">
        <v>51</v>
      </c>
    </row>
    <row r="31" spans="1:4" x14ac:dyDescent="0.25">
      <c r="A31">
        <v>11030</v>
      </c>
      <c r="B31" t="s">
        <v>60</v>
      </c>
      <c r="C31" t="s">
        <v>50</v>
      </c>
      <c r="D31" t="s">
        <v>51</v>
      </c>
    </row>
    <row r="32" spans="1:4" x14ac:dyDescent="0.25">
      <c r="A32">
        <v>11031</v>
      </c>
      <c r="B32" t="s">
        <v>61</v>
      </c>
      <c r="C32" t="s">
        <v>62</v>
      </c>
      <c r="D32" t="s">
        <v>63</v>
      </c>
    </row>
    <row r="33" spans="1:4" x14ac:dyDescent="0.25">
      <c r="A33">
        <v>11032</v>
      </c>
      <c r="B33" t="s">
        <v>64</v>
      </c>
      <c r="C33" t="s">
        <v>62</v>
      </c>
      <c r="D33" t="s">
        <v>63</v>
      </c>
    </row>
    <row r="34" spans="1:4" x14ac:dyDescent="0.25">
      <c r="A34">
        <v>11033</v>
      </c>
      <c r="B34" t="s">
        <v>65</v>
      </c>
      <c r="C34" t="s">
        <v>62</v>
      </c>
      <c r="D34" t="s">
        <v>63</v>
      </c>
    </row>
    <row r="35" spans="1:4" x14ac:dyDescent="0.25">
      <c r="A35">
        <v>11034</v>
      </c>
      <c r="B35" t="s">
        <v>66</v>
      </c>
      <c r="C35" t="s">
        <v>62</v>
      </c>
      <c r="D35" t="s">
        <v>63</v>
      </c>
    </row>
    <row r="36" spans="1:4" x14ac:dyDescent="0.25">
      <c r="A36">
        <v>11035</v>
      </c>
      <c r="B36" t="s">
        <v>67</v>
      </c>
      <c r="C36" t="s">
        <v>62</v>
      </c>
      <c r="D36" t="s">
        <v>63</v>
      </c>
    </row>
    <row r="37" spans="1:4" x14ac:dyDescent="0.25">
      <c r="A37">
        <v>11036</v>
      </c>
      <c r="B37" t="s">
        <v>68</v>
      </c>
      <c r="C37" t="s">
        <v>62</v>
      </c>
      <c r="D37" t="s">
        <v>63</v>
      </c>
    </row>
    <row r="38" spans="1:4" x14ac:dyDescent="0.25">
      <c r="A38">
        <v>11037</v>
      </c>
      <c r="B38" t="s">
        <v>69</v>
      </c>
      <c r="C38" t="s">
        <v>62</v>
      </c>
      <c r="D38" t="s">
        <v>63</v>
      </c>
    </row>
    <row r="39" spans="1:4" x14ac:dyDescent="0.25">
      <c r="A39">
        <v>11038</v>
      </c>
      <c r="B39" t="s">
        <v>70</v>
      </c>
      <c r="C39" t="s">
        <v>62</v>
      </c>
      <c r="D39" t="s">
        <v>63</v>
      </c>
    </row>
    <row r="40" spans="1:4" x14ac:dyDescent="0.25">
      <c r="A40">
        <v>11039</v>
      </c>
      <c r="B40" t="s">
        <v>71</v>
      </c>
      <c r="C40" t="s">
        <v>62</v>
      </c>
      <c r="D40" t="s">
        <v>63</v>
      </c>
    </row>
    <row r="41" spans="1:4" x14ac:dyDescent="0.25">
      <c r="A41">
        <v>11040</v>
      </c>
      <c r="B41" t="s">
        <v>72</v>
      </c>
      <c r="C41" t="s">
        <v>62</v>
      </c>
      <c r="D41" t="s">
        <v>63</v>
      </c>
    </row>
    <row r="42" spans="1:4" x14ac:dyDescent="0.25">
      <c r="A42">
        <v>11041</v>
      </c>
      <c r="B42" t="s">
        <v>73</v>
      </c>
      <c r="C42" t="s">
        <v>74</v>
      </c>
      <c r="D42" t="s">
        <v>75</v>
      </c>
    </row>
    <row r="43" spans="1:4" x14ac:dyDescent="0.25">
      <c r="A43">
        <v>11042</v>
      </c>
      <c r="B43" t="s">
        <v>76</v>
      </c>
      <c r="C43" t="s">
        <v>74</v>
      </c>
      <c r="D43" t="s">
        <v>75</v>
      </c>
    </row>
    <row r="44" spans="1:4" x14ac:dyDescent="0.25">
      <c r="A44">
        <v>11043</v>
      </c>
      <c r="B44" t="s">
        <v>77</v>
      </c>
      <c r="C44" t="s">
        <v>74</v>
      </c>
      <c r="D44" t="s">
        <v>75</v>
      </c>
    </row>
    <row r="45" spans="1:4" x14ac:dyDescent="0.25">
      <c r="A45">
        <v>11044</v>
      </c>
      <c r="B45" t="s">
        <v>78</v>
      </c>
      <c r="C45" t="s">
        <v>74</v>
      </c>
      <c r="D45" t="s">
        <v>75</v>
      </c>
    </row>
    <row r="46" spans="1:4" x14ac:dyDescent="0.25">
      <c r="A46">
        <v>11045</v>
      </c>
      <c r="B46" t="s">
        <v>79</v>
      </c>
      <c r="C46" t="s">
        <v>74</v>
      </c>
      <c r="D46" t="s">
        <v>75</v>
      </c>
    </row>
    <row r="47" spans="1:4" x14ac:dyDescent="0.25">
      <c r="A47">
        <v>11046</v>
      </c>
      <c r="B47" t="s">
        <v>80</v>
      </c>
      <c r="C47" t="s">
        <v>74</v>
      </c>
      <c r="D47" t="s">
        <v>75</v>
      </c>
    </row>
    <row r="48" spans="1:4" x14ac:dyDescent="0.25">
      <c r="A48">
        <v>11047</v>
      </c>
      <c r="B48" t="s">
        <v>81</v>
      </c>
      <c r="C48" t="s">
        <v>74</v>
      </c>
      <c r="D48" t="s">
        <v>75</v>
      </c>
    </row>
    <row r="49" spans="1:4" x14ac:dyDescent="0.25">
      <c r="A49">
        <v>11048</v>
      </c>
      <c r="B49" t="s">
        <v>82</v>
      </c>
      <c r="C49" t="s">
        <v>74</v>
      </c>
      <c r="D49" t="s">
        <v>75</v>
      </c>
    </row>
    <row r="50" spans="1:4" x14ac:dyDescent="0.25">
      <c r="A50">
        <v>11049</v>
      </c>
      <c r="B50" t="s">
        <v>83</v>
      </c>
      <c r="C50" t="s">
        <v>74</v>
      </c>
      <c r="D50" t="s">
        <v>75</v>
      </c>
    </row>
    <row r="51" spans="1:4" x14ac:dyDescent="0.25">
      <c r="A51">
        <v>11050</v>
      </c>
      <c r="B51" t="s">
        <v>84</v>
      </c>
      <c r="C51" t="s">
        <v>74</v>
      </c>
      <c r="D51" t="s">
        <v>75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A897B7-5889-488B-B3FC-682224BB079D}">
  <sheetPr codeName="Sheet5"/>
  <dimension ref="A1:G54"/>
  <sheetViews>
    <sheetView topLeftCell="A34" workbookViewId="0">
      <selection activeCell="A5" sqref="A5:B54"/>
    </sheetView>
  </sheetViews>
  <sheetFormatPr defaultRowHeight="15" x14ac:dyDescent="0.25"/>
  <cols>
    <col min="2" max="2" width="15.85546875" style="6" bestFit="1" customWidth="1"/>
    <col min="4" max="4" width="7.42578125" style="6" bestFit="1" customWidth="1"/>
    <col min="5" max="5" width="16" style="6" bestFit="1" customWidth="1"/>
    <col min="6" max="6" width="13.7109375" style="6" bestFit="1" customWidth="1"/>
    <col min="7" max="7" width="16.85546875" style="6" bestFit="1" customWidth="1"/>
  </cols>
  <sheetData>
    <row r="1" spans="1:7" x14ac:dyDescent="0.25">
      <c r="A1" s="2" t="s">
        <v>24</v>
      </c>
    </row>
    <row r="4" spans="1:7" x14ac:dyDescent="0.25">
      <c r="A4" s="1" t="s">
        <v>0</v>
      </c>
      <c r="B4" s="1" t="s">
        <v>1</v>
      </c>
      <c r="D4" s="1" t="s">
        <v>0</v>
      </c>
      <c r="E4" s="1" t="s">
        <v>9</v>
      </c>
      <c r="F4" s="1" t="s">
        <v>10</v>
      </c>
      <c r="G4" s="1" t="s">
        <v>11</v>
      </c>
    </row>
    <row r="5" spans="1:7" x14ac:dyDescent="0.25">
      <c r="A5">
        <v>11001</v>
      </c>
      <c r="B5" s="6">
        <v>6</v>
      </c>
      <c r="D5" s="6">
        <v>11001</v>
      </c>
      <c r="E5" s="6" t="s">
        <v>25</v>
      </c>
      <c r="F5" s="6" t="s">
        <v>26</v>
      </c>
      <c r="G5" s="6" t="s">
        <v>27</v>
      </c>
    </row>
    <row r="6" spans="1:7" x14ac:dyDescent="0.25">
      <c r="A6">
        <v>11002</v>
      </c>
      <c r="B6" s="6">
        <v>24.65</v>
      </c>
      <c r="D6" s="6">
        <v>11002</v>
      </c>
      <c r="E6" s="6" t="s">
        <v>28</v>
      </c>
      <c r="F6" s="6" t="s">
        <v>26</v>
      </c>
      <c r="G6" s="6" t="s">
        <v>27</v>
      </c>
    </row>
    <row r="7" spans="1:7" x14ac:dyDescent="0.25">
      <c r="A7">
        <v>11003</v>
      </c>
      <c r="B7" s="6">
        <v>36.25</v>
      </c>
      <c r="D7" s="6">
        <v>11003</v>
      </c>
      <c r="E7" s="6" t="s">
        <v>29</v>
      </c>
      <c r="F7" s="6" t="s">
        <v>26</v>
      </c>
      <c r="G7" s="6" t="s">
        <v>27</v>
      </c>
    </row>
    <row r="8" spans="1:7" x14ac:dyDescent="0.25">
      <c r="A8">
        <v>11004</v>
      </c>
      <c r="B8" s="6">
        <v>2.36</v>
      </c>
      <c r="D8" s="6">
        <v>11004</v>
      </c>
      <c r="E8" s="6" t="s">
        <v>30</v>
      </c>
      <c r="F8" s="6" t="s">
        <v>26</v>
      </c>
      <c r="G8" s="6" t="s">
        <v>27</v>
      </c>
    </row>
    <row r="9" spans="1:7" x14ac:dyDescent="0.25">
      <c r="A9">
        <v>11005</v>
      </c>
      <c r="B9" s="6">
        <v>65</v>
      </c>
      <c r="D9" s="6">
        <v>11005</v>
      </c>
      <c r="E9" s="6" t="s">
        <v>31</v>
      </c>
      <c r="F9" s="6" t="s">
        <v>26</v>
      </c>
      <c r="G9" s="6" t="s">
        <v>27</v>
      </c>
    </row>
    <row r="10" spans="1:7" x14ac:dyDescent="0.25">
      <c r="A10">
        <v>11006</v>
      </c>
      <c r="B10" s="6">
        <v>27</v>
      </c>
      <c r="D10" s="6">
        <v>11006</v>
      </c>
      <c r="E10" s="6" t="s">
        <v>32</v>
      </c>
      <c r="F10" s="6" t="s">
        <v>26</v>
      </c>
      <c r="G10" s="6" t="s">
        <v>27</v>
      </c>
    </row>
    <row r="11" spans="1:7" x14ac:dyDescent="0.25">
      <c r="A11">
        <v>11007</v>
      </c>
      <c r="B11" s="6">
        <v>24.5</v>
      </c>
      <c r="D11" s="6">
        <v>11007</v>
      </c>
      <c r="E11" s="6" t="s">
        <v>33</v>
      </c>
      <c r="F11" s="6" t="s">
        <v>26</v>
      </c>
      <c r="G11" s="6" t="s">
        <v>27</v>
      </c>
    </row>
    <row r="12" spans="1:7" x14ac:dyDescent="0.25">
      <c r="A12">
        <v>11008</v>
      </c>
      <c r="B12" s="6">
        <v>18.3</v>
      </c>
      <c r="D12" s="6">
        <v>11008</v>
      </c>
      <c r="E12" s="6" t="s">
        <v>34</v>
      </c>
      <c r="F12" s="6" t="s">
        <v>26</v>
      </c>
      <c r="G12" s="6" t="s">
        <v>27</v>
      </c>
    </row>
    <row r="13" spans="1:7" x14ac:dyDescent="0.25">
      <c r="A13">
        <v>11009</v>
      </c>
      <c r="B13" s="6">
        <v>20</v>
      </c>
      <c r="D13" s="6">
        <v>11009</v>
      </c>
      <c r="E13" s="6" t="s">
        <v>35</v>
      </c>
      <c r="F13" s="6" t="s">
        <v>26</v>
      </c>
      <c r="G13" s="6" t="s">
        <v>27</v>
      </c>
    </row>
    <row r="14" spans="1:7" x14ac:dyDescent="0.25">
      <c r="A14">
        <v>11010</v>
      </c>
      <c r="B14" s="6">
        <v>25.3</v>
      </c>
      <c r="D14" s="6">
        <v>11010</v>
      </c>
      <c r="E14" s="6" t="s">
        <v>36</v>
      </c>
      <c r="F14" s="6" t="s">
        <v>26</v>
      </c>
      <c r="G14" s="6" t="s">
        <v>27</v>
      </c>
    </row>
    <row r="15" spans="1:7" x14ac:dyDescent="0.25">
      <c r="A15">
        <v>11011</v>
      </c>
      <c r="B15" s="6">
        <v>31</v>
      </c>
      <c r="D15" s="6">
        <v>11011</v>
      </c>
      <c r="E15" s="6" t="s">
        <v>37</v>
      </c>
      <c r="F15" s="6" t="s">
        <v>38</v>
      </c>
      <c r="G15" s="6" t="s">
        <v>39</v>
      </c>
    </row>
    <row r="16" spans="1:7" x14ac:dyDescent="0.25">
      <c r="A16">
        <v>11012</v>
      </c>
      <c r="B16" s="6">
        <v>38</v>
      </c>
      <c r="D16" s="6">
        <v>11012</v>
      </c>
      <c r="E16" s="6" t="s">
        <v>40</v>
      </c>
      <c r="F16" s="6" t="s">
        <v>38</v>
      </c>
      <c r="G16" s="6" t="s">
        <v>39</v>
      </c>
    </row>
    <row r="17" spans="1:7" x14ac:dyDescent="0.25">
      <c r="A17">
        <v>11013</v>
      </c>
      <c r="B17" s="6">
        <v>28</v>
      </c>
      <c r="D17" s="6">
        <v>11013</v>
      </c>
      <c r="E17" s="6" t="s">
        <v>41</v>
      </c>
      <c r="F17" s="6" t="s">
        <v>38</v>
      </c>
      <c r="G17" s="6" t="s">
        <v>39</v>
      </c>
    </row>
    <row r="18" spans="1:7" x14ac:dyDescent="0.25">
      <c r="A18">
        <v>11014</v>
      </c>
      <c r="B18" s="6">
        <v>19</v>
      </c>
      <c r="D18" s="6">
        <v>11014</v>
      </c>
      <c r="E18" s="6" t="s">
        <v>42</v>
      </c>
      <c r="F18" s="6" t="s">
        <v>38</v>
      </c>
      <c r="G18" s="6" t="s">
        <v>39</v>
      </c>
    </row>
    <row r="19" spans="1:7" x14ac:dyDescent="0.25">
      <c r="A19">
        <v>11015</v>
      </c>
      <c r="B19" s="6">
        <v>30</v>
      </c>
      <c r="D19" s="6">
        <v>11015</v>
      </c>
      <c r="E19" s="6" t="s">
        <v>43</v>
      </c>
      <c r="F19" s="6" t="s">
        <v>38</v>
      </c>
      <c r="G19" s="6" t="s">
        <v>39</v>
      </c>
    </row>
    <row r="20" spans="1:7" x14ac:dyDescent="0.25">
      <c r="A20">
        <v>11016</v>
      </c>
      <c r="B20" s="6">
        <v>22</v>
      </c>
      <c r="D20" s="6">
        <v>11016</v>
      </c>
      <c r="E20" s="6" t="s">
        <v>44</v>
      </c>
      <c r="F20" s="6" t="s">
        <v>38</v>
      </c>
      <c r="G20" s="6" t="s">
        <v>39</v>
      </c>
    </row>
    <row r="21" spans="1:7" x14ac:dyDescent="0.25">
      <c r="A21">
        <v>11017</v>
      </c>
      <c r="B21" s="6">
        <v>38</v>
      </c>
      <c r="D21" s="6">
        <v>11017</v>
      </c>
      <c r="E21" s="6" t="s">
        <v>45</v>
      </c>
      <c r="F21" s="6" t="s">
        <v>38</v>
      </c>
      <c r="G21" s="6" t="s">
        <v>39</v>
      </c>
    </row>
    <row r="22" spans="1:7" x14ac:dyDescent="0.25">
      <c r="A22">
        <v>11018</v>
      </c>
      <c r="B22" s="6">
        <v>11</v>
      </c>
      <c r="D22" s="6">
        <v>11018</v>
      </c>
      <c r="E22" s="6" t="s">
        <v>46</v>
      </c>
      <c r="F22" s="6" t="s">
        <v>38</v>
      </c>
      <c r="G22" s="6" t="s">
        <v>39</v>
      </c>
    </row>
    <row r="23" spans="1:7" x14ac:dyDescent="0.25">
      <c r="A23">
        <v>11019</v>
      </c>
      <c r="B23" s="6">
        <v>29</v>
      </c>
      <c r="D23" s="6">
        <v>11019</v>
      </c>
      <c r="E23" s="6" t="s">
        <v>47</v>
      </c>
      <c r="F23" s="6" t="s">
        <v>38</v>
      </c>
      <c r="G23" s="6" t="s">
        <v>39</v>
      </c>
    </row>
    <row r="24" spans="1:7" x14ac:dyDescent="0.25">
      <c r="A24">
        <v>11020</v>
      </c>
      <c r="B24" s="6">
        <v>41</v>
      </c>
      <c r="D24" s="6">
        <v>11020</v>
      </c>
      <c r="E24" s="6" t="s">
        <v>48</v>
      </c>
      <c r="F24" s="6" t="s">
        <v>38</v>
      </c>
      <c r="G24" s="6" t="s">
        <v>39</v>
      </c>
    </row>
    <row r="25" spans="1:7" x14ac:dyDescent="0.25">
      <c r="A25">
        <v>11021</v>
      </c>
      <c r="B25" s="6">
        <v>17</v>
      </c>
      <c r="D25" s="6">
        <v>11021</v>
      </c>
      <c r="E25" s="6" t="s">
        <v>49</v>
      </c>
      <c r="F25" s="6" t="s">
        <v>50</v>
      </c>
      <c r="G25" s="6" t="s">
        <v>51</v>
      </c>
    </row>
    <row r="26" spans="1:7" x14ac:dyDescent="0.25">
      <c r="A26">
        <v>11022</v>
      </c>
      <c r="B26" s="6">
        <v>35</v>
      </c>
      <c r="D26" s="6">
        <v>11022</v>
      </c>
      <c r="E26" s="6" t="s">
        <v>52</v>
      </c>
      <c r="F26" s="6" t="s">
        <v>50</v>
      </c>
      <c r="G26" s="6" t="s">
        <v>51</v>
      </c>
    </row>
    <row r="27" spans="1:7" x14ac:dyDescent="0.25">
      <c r="A27">
        <v>11023</v>
      </c>
      <c r="B27" s="6">
        <v>12</v>
      </c>
      <c r="D27" s="6">
        <v>11023</v>
      </c>
      <c r="E27" s="6" t="s">
        <v>53</v>
      </c>
      <c r="F27" s="6" t="s">
        <v>50</v>
      </c>
      <c r="G27" s="6" t="s">
        <v>51</v>
      </c>
    </row>
    <row r="28" spans="1:7" x14ac:dyDescent="0.25">
      <c r="A28">
        <v>11024</v>
      </c>
      <c r="B28" s="6">
        <v>43</v>
      </c>
      <c r="D28" s="6">
        <v>11024</v>
      </c>
      <c r="E28" s="6" t="s">
        <v>54</v>
      </c>
      <c r="F28" s="6" t="s">
        <v>50</v>
      </c>
      <c r="G28" s="6" t="s">
        <v>51</v>
      </c>
    </row>
    <row r="29" spans="1:7" x14ac:dyDescent="0.25">
      <c r="A29">
        <v>11025</v>
      </c>
      <c r="B29" s="6">
        <v>27</v>
      </c>
      <c r="D29" s="6">
        <v>11025</v>
      </c>
      <c r="E29" s="6" t="s">
        <v>55</v>
      </c>
      <c r="F29" s="6" t="s">
        <v>50</v>
      </c>
      <c r="G29" s="6" t="s">
        <v>51</v>
      </c>
    </row>
    <row r="30" spans="1:7" x14ac:dyDescent="0.25">
      <c r="A30">
        <v>11026</v>
      </c>
      <c r="B30" s="6">
        <v>33</v>
      </c>
      <c r="D30" s="6">
        <v>11026</v>
      </c>
      <c r="E30" s="6" t="s">
        <v>56</v>
      </c>
      <c r="F30" s="6" t="s">
        <v>50</v>
      </c>
      <c r="G30" s="6" t="s">
        <v>51</v>
      </c>
    </row>
    <row r="31" spans="1:7" x14ac:dyDescent="0.25">
      <c r="A31">
        <v>11027</v>
      </c>
      <c r="B31" s="6">
        <v>19</v>
      </c>
      <c r="D31" s="6">
        <v>11027</v>
      </c>
      <c r="E31" s="6" t="s">
        <v>57</v>
      </c>
      <c r="F31" s="6" t="s">
        <v>50</v>
      </c>
      <c r="G31" s="6" t="s">
        <v>51</v>
      </c>
    </row>
    <row r="32" spans="1:7" x14ac:dyDescent="0.25">
      <c r="A32">
        <v>11028</v>
      </c>
      <c r="B32" s="6">
        <v>45</v>
      </c>
      <c r="D32" s="6">
        <v>11028</v>
      </c>
      <c r="E32" s="6" t="s">
        <v>58</v>
      </c>
      <c r="F32" s="6" t="s">
        <v>50</v>
      </c>
      <c r="G32" s="6" t="s">
        <v>51</v>
      </c>
    </row>
    <row r="33" spans="1:7" x14ac:dyDescent="0.25">
      <c r="A33">
        <v>11029</v>
      </c>
      <c r="B33" s="6">
        <v>13</v>
      </c>
      <c r="D33" s="6">
        <v>11029</v>
      </c>
      <c r="E33" s="6" t="s">
        <v>59</v>
      </c>
      <c r="F33" s="6" t="s">
        <v>50</v>
      </c>
      <c r="G33" s="6" t="s">
        <v>51</v>
      </c>
    </row>
    <row r="34" spans="1:7" x14ac:dyDescent="0.25">
      <c r="A34">
        <v>11030</v>
      </c>
      <c r="B34" s="6">
        <v>26</v>
      </c>
      <c r="D34" s="6">
        <v>11030</v>
      </c>
      <c r="E34" s="6" t="s">
        <v>60</v>
      </c>
      <c r="F34" s="6" t="s">
        <v>50</v>
      </c>
      <c r="G34" s="6" t="s">
        <v>51</v>
      </c>
    </row>
    <row r="35" spans="1:7" x14ac:dyDescent="0.25">
      <c r="A35">
        <v>11031</v>
      </c>
      <c r="B35" s="6">
        <v>39</v>
      </c>
      <c r="D35" s="6">
        <v>11031</v>
      </c>
      <c r="E35" s="6" t="s">
        <v>61</v>
      </c>
      <c r="F35" s="6" t="s">
        <v>62</v>
      </c>
      <c r="G35" s="6" t="s">
        <v>63</v>
      </c>
    </row>
    <row r="36" spans="1:7" x14ac:dyDescent="0.25">
      <c r="A36">
        <v>11032</v>
      </c>
      <c r="B36" s="6">
        <v>14</v>
      </c>
      <c r="D36" s="6">
        <v>11032</v>
      </c>
      <c r="E36" s="6" t="s">
        <v>64</v>
      </c>
      <c r="F36" s="6" t="s">
        <v>62</v>
      </c>
      <c r="G36" s="6" t="s">
        <v>63</v>
      </c>
    </row>
    <row r="37" spans="1:7" x14ac:dyDescent="0.25">
      <c r="A37">
        <v>11033</v>
      </c>
      <c r="B37" s="6">
        <v>30</v>
      </c>
      <c r="D37" s="6">
        <v>11033</v>
      </c>
      <c r="E37" s="6" t="s">
        <v>65</v>
      </c>
      <c r="F37" s="6" t="s">
        <v>62</v>
      </c>
      <c r="G37" s="6" t="s">
        <v>63</v>
      </c>
    </row>
    <row r="38" spans="1:7" x14ac:dyDescent="0.25">
      <c r="A38">
        <v>11034</v>
      </c>
      <c r="B38" s="6">
        <v>24</v>
      </c>
      <c r="D38" s="6">
        <v>11034</v>
      </c>
      <c r="E38" s="6" t="s">
        <v>66</v>
      </c>
      <c r="F38" s="6" t="s">
        <v>62</v>
      </c>
      <c r="G38" s="6" t="s">
        <v>63</v>
      </c>
    </row>
    <row r="39" spans="1:7" x14ac:dyDescent="0.25">
      <c r="A39">
        <v>11035</v>
      </c>
      <c r="B39" s="6">
        <v>21</v>
      </c>
      <c r="D39" s="6">
        <v>11035</v>
      </c>
      <c r="E39" s="6" t="s">
        <v>67</v>
      </c>
      <c r="F39" s="6" t="s">
        <v>62</v>
      </c>
      <c r="G39" s="6" t="s">
        <v>63</v>
      </c>
    </row>
    <row r="40" spans="1:7" x14ac:dyDescent="0.25">
      <c r="A40">
        <v>11036</v>
      </c>
      <c r="B40" s="6">
        <v>40</v>
      </c>
      <c r="D40" s="6">
        <v>11036</v>
      </c>
      <c r="E40" s="6" t="s">
        <v>68</v>
      </c>
      <c r="F40" s="6" t="s">
        <v>62</v>
      </c>
      <c r="G40" s="6" t="s">
        <v>63</v>
      </c>
    </row>
    <row r="41" spans="1:7" x14ac:dyDescent="0.25">
      <c r="A41">
        <v>11037</v>
      </c>
      <c r="B41" s="6">
        <v>31</v>
      </c>
      <c r="D41" s="6">
        <v>11037</v>
      </c>
      <c r="E41" s="6" t="s">
        <v>69</v>
      </c>
      <c r="F41" s="6" t="s">
        <v>62</v>
      </c>
      <c r="G41" s="6" t="s">
        <v>63</v>
      </c>
    </row>
    <row r="42" spans="1:7" x14ac:dyDescent="0.25">
      <c r="A42">
        <v>11038</v>
      </c>
      <c r="B42" s="6">
        <v>16</v>
      </c>
      <c r="D42" s="6">
        <v>11038</v>
      </c>
      <c r="E42" s="6" t="s">
        <v>70</v>
      </c>
      <c r="F42" s="6" t="s">
        <v>62</v>
      </c>
      <c r="G42" s="6" t="s">
        <v>63</v>
      </c>
    </row>
    <row r="43" spans="1:7" x14ac:dyDescent="0.25">
      <c r="A43">
        <v>11039</v>
      </c>
      <c r="B43" s="6">
        <v>42</v>
      </c>
      <c r="D43" s="6">
        <v>11039</v>
      </c>
      <c r="E43" s="6" t="s">
        <v>71</v>
      </c>
      <c r="F43" s="6" t="s">
        <v>62</v>
      </c>
      <c r="G43" s="6" t="s">
        <v>63</v>
      </c>
    </row>
    <row r="44" spans="1:7" x14ac:dyDescent="0.25">
      <c r="A44">
        <v>11040</v>
      </c>
      <c r="B44" s="6">
        <v>28</v>
      </c>
      <c r="D44" s="6">
        <v>11040</v>
      </c>
      <c r="E44" s="6" t="s">
        <v>72</v>
      </c>
      <c r="F44" s="6" t="s">
        <v>62</v>
      </c>
      <c r="G44" s="6" t="s">
        <v>63</v>
      </c>
    </row>
    <row r="45" spans="1:7" x14ac:dyDescent="0.25">
      <c r="A45">
        <v>11041</v>
      </c>
      <c r="B45" s="6">
        <v>37</v>
      </c>
      <c r="D45" s="6">
        <v>11041</v>
      </c>
      <c r="E45" s="6" t="s">
        <v>73</v>
      </c>
      <c r="F45" s="6" t="s">
        <v>74</v>
      </c>
      <c r="G45" s="6" t="s">
        <v>75</v>
      </c>
    </row>
    <row r="46" spans="1:7" x14ac:dyDescent="0.25">
      <c r="A46">
        <v>11042</v>
      </c>
      <c r="B46" s="6">
        <v>20</v>
      </c>
      <c r="D46" s="6">
        <v>11042</v>
      </c>
      <c r="E46" s="6" t="s">
        <v>76</v>
      </c>
      <c r="F46" s="6" t="s">
        <v>74</v>
      </c>
      <c r="G46" s="6" t="s">
        <v>75</v>
      </c>
    </row>
    <row r="47" spans="1:7" x14ac:dyDescent="0.25">
      <c r="A47">
        <v>11043</v>
      </c>
      <c r="B47" s="6">
        <v>10</v>
      </c>
      <c r="D47" s="6">
        <v>11043</v>
      </c>
      <c r="E47" s="6" t="s">
        <v>77</v>
      </c>
      <c r="F47" s="6" t="s">
        <v>74</v>
      </c>
      <c r="G47" s="6" t="s">
        <v>75</v>
      </c>
    </row>
    <row r="48" spans="1:7" x14ac:dyDescent="0.25">
      <c r="A48">
        <v>11044</v>
      </c>
      <c r="B48" s="6">
        <v>32</v>
      </c>
      <c r="D48" s="6">
        <v>11044</v>
      </c>
      <c r="E48" s="6" t="s">
        <v>78</v>
      </c>
      <c r="F48" s="6" t="s">
        <v>74</v>
      </c>
      <c r="G48" s="6" t="s">
        <v>75</v>
      </c>
    </row>
    <row r="49" spans="1:7" x14ac:dyDescent="0.25">
      <c r="A49">
        <v>11045</v>
      </c>
      <c r="B49" s="6">
        <v>34</v>
      </c>
      <c r="D49" s="6">
        <v>11045</v>
      </c>
      <c r="E49" s="6" t="s">
        <v>79</v>
      </c>
      <c r="F49" s="6" t="s">
        <v>74</v>
      </c>
      <c r="G49" s="6" t="s">
        <v>75</v>
      </c>
    </row>
    <row r="50" spans="1:7" x14ac:dyDescent="0.25">
      <c r="A50">
        <v>11046</v>
      </c>
      <c r="B50" s="6">
        <v>15</v>
      </c>
      <c r="D50" s="6">
        <v>11046</v>
      </c>
      <c r="E50" s="6" t="s">
        <v>80</v>
      </c>
      <c r="F50" s="6" t="s">
        <v>74</v>
      </c>
      <c r="G50" s="6" t="s">
        <v>75</v>
      </c>
    </row>
    <row r="51" spans="1:7" x14ac:dyDescent="0.25">
      <c r="A51">
        <v>11047</v>
      </c>
      <c r="B51" s="6">
        <v>25</v>
      </c>
      <c r="D51" s="6">
        <v>11047</v>
      </c>
      <c r="E51" s="6" t="s">
        <v>81</v>
      </c>
      <c r="F51" s="6" t="s">
        <v>74</v>
      </c>
      <c r="G51" s="6" t="s">
        <v>75</v>
      </c>
    </row>
    <row r="52" spans="1:7" x14ac:dyDescent="0.25">
      <c r="A52">
        <v>11048</v>
      </c>
      <c r="B52" s="6">
        <v>18</v>
      </c>
      <c r="D52" s="6">
        <v>11048</v>
      </c>
      <c r="E52" s="6" t="s">
        <v>82</v>
      </c>
      <c r="F52" s="6" t="s">
        <v>74</v>
      </c>
      <c r="G52" s="6" t="s">
        <v>75</v>
      </c>
    </row>
    <row r="53" spans="1:7" x14ac:dyDescent="0.25">
      <c r="A53">
        <v>11049</v>
      </c>
      <c r="B53" s="6">
        <v>44</v>
      </c>
      <c r="D53" s="6">
        <v>11049</v>
      </c>
      <c r="E53" s="6" t="s">
        <v>83</v>
      </c>
      <c r="F53" s="6" t="s">
        <v>74</v>
      </c>
      <c r="G53" s="6" t="s">
        <v>75</v>
      </c>
    </row>
    <row r="54" spans="1:7" x14ac:dyDescent="0.25">
      <c r="A54">
        <v>11050</v>
      </c>
      <c r="B54" s="6">
        <v>36</v>
      </c>
      <c r="D54" s="6">
        <v>11050</v>
      </c>
      <c r="E54" s="6" t="s">
        <v>84</v>
      </c>
      <c r="F54" s="6" t="s">
        <v>74</v>
      </c>
      <c r="G54" s="6" t="s">
        <v>75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How to use</vt:lpstr>
      <vt:lpstr>RawData</vt:lpstr>
      <vt:lpstr>Processed</vt:lpstr>
      <vt:lpstr>Ref</vt:lpstr>
      <vt:lpstr>Sample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Krushna Mane</dc:creator>
  <cp:lastModifiedBy>Krushna Mane</cp:lastModifiedBy>
  <dcterms:created xsi:type="dcterms:W3CDTF">2025-05-27T07:30:55Z</dcterms:created>
  <dcterms:modified xsi:type="dcterms:W3CDTF">2025-06-22T20:30:56Z</dcterms:modified>
</cp:coreProperties>
</file>